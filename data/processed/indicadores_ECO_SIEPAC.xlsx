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Datos_Base" sheetId="2" state="visible" r:id="rId2"/>
    <sheet name="ECO1" sheetId="3" state="visible" r:id="rId3"/>
    <sheet name="ECO2" sheetId="4" state="visible" r:id="rId4"/>
    <sheet name="ECO3" sheetId="5" state="visible" r:id="rId5"/>
    <sheet name="ECO6" sheetId="6" state="visible" r:id="rId6"/>
    <sheet name="ECO11" sheetId="7" state="visible" r:id="rId7"/>
    <sheet name="ECO13" sheetId="8" state="visible" r:id="rId8"/>
    <sheet name="ECO14" sheetId="9" state="visible" r:id="rId9"/>
    <sheet name="ECO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1" fontId="2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2" fontId="2" fillId="3" borderId="1" pivotButton="0" quotePrefix="0" xfId="0"/>
    <xf numFmtId="1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4" borderId="1" pivotButton="0" quotePrefix="0" xfId="0"/>
    <xf numFmtId="3" fontId="5" fillId="4" borderId="1" pivotButton="0" quotePrefix="0" xfId="0"/>
    <xf numFmtId="165" fontId="2" fillId="0" borderId="1" pivotButton="0" quotePrefix="0" xfId="0"/>
    <xf numFmtId="165" fontId="5" fillId="4" borderId="1" pivotButton="0" quotePrefix="0" xfId="0"/>
    <xf numFmtId="166" fontId="2" fillId="0" borderId="1" pivotButton="0" quotePrefix="0" xfId="0"/>
    <xf numFmtId="166" fontId="5" fillId="4" borderId="1" pivotButton="0" quotePrefix="0" xfId="0"/>
    <xf numFmtId="2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46" customWidth="1" min="4" max="4"/>
    <col width="40" customWidth="1" min="5" max="5"/>
    <col width="46" customWidth="1" min="6" max="6"/>
  </cols>
  <sheetData>
    <row r="1">
      <c r="A1" s="1" t="inlineStr">
        <is>
          <t>Indicadores Energéticos de Desarrollo Sostenible (IEDS) — Dimensión Económica, SIEPAC 2020–2024</t>
        </is>
      </c>
    </row>
    <row r="2">
      <c r="A2" s="2" t="inlineStr">
        <is>
          <t>Referencia metodológica: OIEA/NU (2005), Indicadores energéticos del desarrollo sostenible: directrices y metodologías. Datos base en la hoja Datos_Base; cada hoja ECO calcula su indicador con fórmulas que referencian esa hoja. Cada hoja cierra con dos resúmenes: Promedio de países (media simple, el país típico) y Agregado regional (razón de sumas Σnum/Σden, el bloque como sistema).</t>
        </is>
      </c>
    </row>
    <row r="4">
      <c r="A4" s="3" t="inlineStr">
        <is>
          <t>Indicador</t>
        </is>
      </c>
      <c r="B4" s="3" t="inlineStr">
        <is>
          <t>Nombre</t>
        </is>
      </c>
      <c r="C4" s="3" t="inlineStr">
        <is>
          <t>Unidad de salida</t>
        </is>
      </c>
      <c r="D4" s="3" t="inlineStr">
        <is>
          <t>Fórmula</t>
        </is>
      </c>
      <c r="E4" s="3" t="inlineStr">
        <is>
          <t>Fuentes</t>
        </is>
      </c>
      <c r="F4" s="3" t="inlineStr">
        <is>
          <t>Notas</t>
        </is>
      </c>
    </row>
    <row r="5">
      <c r="A5" s="4" t="inlineStr">
        <is>
          <t>ECO1</t>
        </is>
      </c>
      <c r="B5" s="4" t="inlineStr">
        <is>
          <t>Uso de energía per cápita</t>
        </is>
      </c>
      <c r="C5" s="4" t="inlineStr">
        <is>
          <t>kWh/habitante</t>
        </is>
      </c>
      <c r="D5" s="4" t="inlineStr">
        <is>
          <t>Consumo Final Total (kWh) ÷ Población Total (habitantes)</t>
        </is>
      </c>
      <c r="E5" s="4" t="inlineStr">
        <is>
          <t>SIELAC-OLADE (consumo); CEPAL-CELADE (población)</t>
        </is>
      </c>
      <c r="F5" s="4" t="inlineStr"/>
    </row>
    <row r="6">
      <c r="A6" s="4" t="inlineStr">
        <is>
          <t>ECO2</t>
        </is>
      </c>
      <c r="B6" s="4" t="inlineStr">
        <is>
          <t>Uso de energía por unidad de PIB</t>
        </is>
      </c>
      <c r="C6" s="4" t="inlineStr">
        <is>
          <t>kWh/USD const. 2015</t>
        </is>
      </c>
      <c r="D6" s="4" t="inlineStr">
        <is>
          <t>Consumo Final Total (kWh) ÷ PIB Real (USD constantes 2015)</t>
        </is>
      </c>
      <c r="E6" s="4" t="inlineStr">
        <is>
          <t>SIELAC-OLADE (consumo); Banco Mundial NY.GDP.MKTP.KD (PIB)</t>
        </is>
      </c>
      <c r="F6" s="4" t="inlineStr"/>
    </row>
    <row r="7">
      <c r="A7" s="4" t="inlineStr">
        <is>
          <t>ECO3</t>
        </is>
      </c>
      <c r="B7" s="4" t="inlineStr">
        <is>
          <t>Eficiencia de la conversión y distribución de energía</t>
        </is>
      </c>
      <c r="C7" s="4" t="inlineStr">
        <is>
          <t>%</t>
        </is>
      </c>
      <c r="D7" s="4" t="inlineStr">
        <is>
          <t>(Consumo Final Total ÷ Producción Bruta Total) × 100</t>
        </is>
      </c>
      <c r="E7" s="4" t="inlineStr">
        <is>
          <t>SIELAC-OLADE (ambas variables)</t>
        </is>
      </c>
      <c r="F7" s="4" t="inlineStr">
        <is>
          <t>Aproxima la eficiencia del sistema eléctrico desde generación hasta consumo final; no representa la cadena energética primaria completa.</t>
        </is>
      </c>
    </row>
    <row r="8">
      <c r="A8" s="4" t="inlineStr">
        <is>
          <t>ECO6</t>
        </is>
      </c>
      <c r="B8" s="4" t="inlineStr">
        <is>
          <t>Intensidades energéticas de la industria</t>
        </is>
      </c>
      <c r="C8" s="4" t="inlineStr">
        <is>
          <t>kWh/USD const. 2015</t>
        </is>
      </c>
      <c r="D8" s="4" t="inlineStr">
        <is>
          <t>Consumo Final Industrial (kWh) ÷ Valor Agregado Manufacturero (USD constantes 2015)</t>
        </is>
      </c>
      <c r="E8" s="4" t="inlineStr">
        <is>
          <t>SIELAC-OLADE (consumo industrial); CEPALSTAT ODS 9.2.1 × Banco Mundial (VAM)</t>
        </is>
      </c>
      <c r="F8" s="4" t="inlineStr">
        <is>
          <t>El VAM en USD ya fue calculado en el ETL como VAM%% (ODS 9.2.1) × PIB real.</t>
        </is>
      </c>
    </row>
    <row r="9">
      <c r="A9" s="4" t="inlineStr">
        <is>
          <t>ECO11</t>
        </is>
      </c>
      <c r="B9" s="4" t="inlineStr">
        <is>
          <t>Porcentaje de combustibles fósiles en la electricidad</t>
        </is>
      </c>
      <c r="C9" s="4" t="inlineStr">
        <is>
          <t>%</t>
        </is>
      </c>
      <c r="D9" s="4" t="inlineStr">
        <is>
          <t>(Generación Térmica Fósil ÷ Generación Total) × 100</t>
        </is>
      </c>
      <c r="E9" s="4" t="inlineStr">
        <is>
          <t>SIELAC-OLADE (generación por tipo de fuente)</t>
        </is>
      </c>
      <c r="F9" s="4" t="inlineStr"/>
    </row>
    <row r="10">
      <c r="A10" s="4" t="inlineStr">
        <is>
          <t>ECO13</t>
        </is>
      </c>
      <c r="B10" s="4" t="inlineStr">
        <is>
          <t>Porcentaje de energías renovables en la electricidad</t>
        </is>
      </c>
      <c r="C10" s="4" t="inlineStr">
        <is>
          <t>%</t>
        </is>
      </c>
      <c r="D10" s="4" t="inlineStr">
        <is>
          <t>(Hidro + Geotermia + Eólica + Solar + Biomasa) ÷ Generación Total × 100</t>
        </is>
      </c>
      <c r="E10" s="4" t="inlineStr">
        <is>
          <t>SIELAC-OLADE (generación por tipo de fuente)</t>
        </is>
      </c>
      <c r="F10" s="4" t="inlineStr">
        <is>
          <t>La fórmula suma las cinco fuentes renovables explícitamente (no usa la columna agregada) para que el cálculo sea auditable componente a componente.</t>
        </is>
      </c>
    </row>
    <row r="11">
      <c r="A11" s="4" t="inlineStr">
        <is>
          <t>ECO14</t>
        </is>
      </c>
      <c r="B11" s="4" t="inlineStr">
        <is>
          <t>Precios de la energía de uso final por sector</t>
        </is>
      </c>
      <c r="C11" s="4" t="inlineStr">
        <is>
          <t>USD corrientes/MWh</t>
        </is>
      </c>
      <c r="D11" s="4" t="inlineStr">
        <is>
          <t>Ingresos por energía regulada vendida (USD) ÷ energía regulada consumida (MWh), calculado en el ETL</t>
        </is>
      </c>
      <c r="E11" s="4" t="inlineStr">
        <is>
          <t>CEPAL-SIECA (serie histórica); cálculo CAGR documentado en el ETL</t>
        </is>
      </c>
      <c r="F11" s="4" t="inlineStr">
        <is>
          <t>En USD corrientes del año bajo análisis (no constantes). Las celdas sombreadas en amarillo son valores calculados mediante CAGR de la serie histórica 2015+ (ver Datos_Base, columna tarifa_fuente_dato).</t>
        </is>
      </c>
    </row>
    <row r="12">
      <c r="A12" s="4" t="inlineStr">
        <is>
          <t>ECO15</t>
        </is>
      </c>
      <c r="B12" s="4" t="inlineStr">
        <is>
          <t>Dependencia de las importaciones netas de energía</t>
        </is>
      </c>
      <c r="C12" s="4" t="inlineStr">
        <is>
          <t>%</t>
        </is>
      </c>
      <c r="D12" s="4" t="inlineStr">
        <is>
          <t>((Importaciones − Exportaciones) ÷ (Producción Bruta + Importaciones − Exportaciones)) × 100</t>
        </is>
      </c>
      <c r="E12" s="4" t="inlineStr">
        <is>
          <t>SIELAC-OLADE (matriz de balance energético; producción bruta)</t>
        </is>
      </c>
      <c r="F12" s="4" t="inlineStr">
        <is>
          <t>Positivo = importador neto; negativo = exportador neto.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3" t="inlineStr">
        <is>
          <t>pais</t>
        </is>
      </c>
      <c r="B1" s="3" t="inlineStr">
        <is>
          <t>anio</t>
        </is>
      </c>
      <c r="C1" s="3" t="inlineStr">
        <is>
          <t>consumo_final_total_kwh</t>
        </is>
      </c>
      <c r="D1" s="3" t="inlineStr">
        <is>
          <t>consumo_industrial_kwh</t>
        </is>
      </c>
      <c r="E1" s="3" t="inlineStr">
        <is>
          <t>exportaciones_kwh</t>
        </is>
      </c>
      <c r="F1" s="3" t="inlineStr">
        <is>
          <t>gen_biomasa_kwh</t>
        </is>
      </c>
      <c r="G1" s="3" t="inlineStr">
        <is>
          <t>gen_eolica_kwh</t>
        </is>
      </c>
      <c r="H1" s="3" t="inlineStr">
        <is>
          <t>gen_fosil_kwh</t>
        </is>
      </c>
      <c r="I1" s="3" t="inlineStr">
        <is>
          <t>gen_geotermia_kwh</t>
        </is>
      </c>
      <c r="J1" s="3" t="inlineStr">
        <is>
          <t>gen_hidro_kwh</t>
        </is>
      </c>
      <c r="K1" s="3" t="inlineStr">
        <is>
          <t>gen_renovable_kwh</t>
        </is>
      </c>
      <c r="L1" s="3" t="inlineStr">
        <is>
          <t>gen_solar_kwh</t>
        </is>
      </c>
      <c r="M1" s="3" t="inlineStr">
        <is>
          <t>gen_total_kwh</t>
        </is>
      </c>
      <c r="N1" s="3" t="inlineStr">
        <is>
          <t>importaciones_kwh</t>
        </is>
      </c>
      <c r="O1" s="3" t="inlineStr">
        <is>
          <t>pib_usd_const2015</t>
        </is>
      </c>
      <c r="P1" s="3" t="inlineStr">
        <is>
          <t>poblacion_habitantes</t>
        </is>
      </c>
      <c r="Q1" s="3" t="inlineStr">
        <is>
          <t>produccion_bruta_kwh</t>
        </is>
      </c>
      <c r="R1" s="3" t="inlineStr">
        <is>
          <t>tarifa_usd_mwh</t>
        </is>
      </c>
      <c r="S1" s="3" t="inlineStr">
        <is>
          <t>vai_pct_pib</t>
        </is>
      </c>
      <c r="T1" s="3" t="inlineStr">
        <is>
          <t>vai_usd_const2015</t>
        </is>
      </c>
      <c r="U1" s="3" t="inlineStr">
        <is>
          <t>tarifa_fuente_dato</t>
        </is>
      </c>
    </row>
    <row r="2">
      <c r="A2" s="5" t="inlineStr">
        <is>
          <t>Costa Rica</t>
        </is>
      </c>
      <c r="B2" s="6" t="n">
        <v>2020</v>
      </c>
      <c r="C2" s="7" t="n">
        <v>9896729532.317532</v>
      </c>
      <c r="D2" s="7" t="n">
        <v>1892242609.33314</v>
      </c>
      <c r="E2" s="7" t="n">
        <v>623877408</v>
      </c>
      <c r="F2" s="7" t="n">
        <v>58570200</v>
      </c>
      <c r="G2" s="7" t="n">
        <v>1459442100</v>
      </c>
      <c r="H2" s="7" t="n">
        <v>23730700</v>
      </c>
      <c r="I2" s="7" t="n">
        <v>1689173500</v>
      </c>
      <c r="J2" s="7" t="n">
        <v>8294319799.999999</v>
      </c>
      <c r="K2" s="7" t="n">
        <v>11510509900</v>
      </c>
      <c r="L2" s="7" t="n">
        <v>9004299.999999998</v>
      </c>
      <c r="M2" s="7" t="n">
        <v>11534240600</v>
      </c>
      <c r="N2" s="7" t="n">
        <v>117690907</v>
      </c>
      <c r="O2" s="7" t="n">
        <v>61631202098</v>
      </c>
      <c r="P2" s="7" t="n">
        <v>5034300</v>
      </c>
      <c r="Q2" s="7" t="n">
        <v>11607237615.25414</v>
      </c>
      <c r="R2" s="8" t="n">
        <v>155.1765701</v>
      </c>
      <c r="S2" s="9" t="n">
        <v>12.79</v>
      </c>
      <c r="T2" s="7" t="n">
        <v>7882630748</v>
      </c>
      <c r="U2" s="5" t="inlineStr">
        <is>
          <t>real</t>
        </is>
      </c>
    </row>
    <row r="3">
      <c r="A3" s="5" t="inlineStr">
        <is>
          <t>Costa Rica</t>
        </is>
      </c>
      <c r="B3" s="6" t="n">
        <v>2021</v>
      </c>
      <c r="C3" s="7" t="n">
        <v>9906868858.742161</v>
      </c>
      <c r="D3" s="7" t="n">
        <v>1756427455.43136</v>
      </c>
      <c r="E3" s="7" t="n">
        <v>1009041760</v>
      </c>
      <c r="F3" s="7" t="n">
        <v>67313800</v>
      </c>
      <c r="G3" s="7" t="n">
        <v>1573299600</v>
      </c>
      <c r="H3" s="7" t="n">
        <v>2859700</v>
      </c>
      <c r="I3" s="7" t="n">
        <v>1601729200</v>
      </c>
      <c r="J3" s="7" t="n">
        <v>9285714199.999998</v>
      </c>
      <c r="K3" s="7" t="n">
        <v>12537220500</v>
      </c>
      <c r="L3" s="7" t="n">
        <v>9163700</v>
      </c>
      <c r="M3" s="7" t="n">
        <v>12540080200</v>
      </c>
      <c r="N3" s="7" t="n">
        <v>6294380</v>
      </c>
      <c r="O3" s="7" t="n">
        <v>66522107766</v>
      </c>
      <c r="P3" s="7" t="n">
        <v>5060000</v>
      </c>
      <c r="Q3" s="7" t="n">
        <v>12626402788.1608</v>
      </c>
      <c r="R3" s="8" t="n">
        <v>131.0475638</v>
      </c>
      <c r="S3" s="9" t="n">
        <v>13.73</v>
      </c>
      <c r="T3" s="7" t="n">
        <v>9133485396</v>
      </c>
      <c r="U3" s="5" t="inlineStr">
        <is>
          <t>real</t>
        </is>
      </c>
    </row>
    <row r="4">
      <c r="A4" s="5" t="inlineStr">
        <is>
          <t>Costa Rica</t>
        </is>
      </c>
      <c r="B4" s="6" t="n">
        <v>2022</v>
      </c>
      <c r="C4" s="7" t="n">
        <v>10649969444.44444</v>
      </c>
      <c r="D4" s="7" t="n">
        <v>4228113888.888888</v>
      </c>
      <c r="E4" s="7" t="n">
        <v>773986111.111111</v>
      </c>
      <c r="F4" s="7" t="n">
        <v>55514500</v>
      </c>
      <c r="G4" s="7" t="n">
        <v>1369231800</v>
      </c>
      <c r="H4" s="7" t="n">
        <v>92115300</v>
      </c>
      <c r="I4" s="7" t="n">
        <v>1618691000</v>
      </c>
      <c r="J4" s="7" t="n">
        <v>9448708700</v>
      </c>
      <c r="K4" s="7" t="n">
        <v>12500181700</v>
      </c>
      <c r="L4" s="7" t="n">
        <v>8035700</v>
      </c>
      <c r="M4" s="7" t="n">
        <v>12592297000</v>
      </c>
      <c r="N4" s="7" t="n">
        <v>54233333.33333334</v>
      </c>
      <c r="O4" s="7" t="n">
        <v>69549856033</v>
      </c>
      <c r="P4" s="7" t="n">
        <v>5081800</v>
      </c>
      <c r="Q4" s="7" t="n">
        <v>12421733333.33333</v>
      </c>
      <c r="R4" s="8" t="n">
        <v>130.7103934</v>
      </c>
      <c r="S4" s="9" t="n">
        <v>14.08</v>
      </c>
      <c r="T4" s="7" t="n">
        <v>9792619729</v>
      </c>
      <c r="U4" s="5" t="inlineStr">
        <is>
          <t>real</t>
        </is>
      </c>
    </row>
    <row r="5">
      <c r="A5" s="5" t="inlineStr">
        <is>
          <t>Costa Rica</t>
        </is>
      </c>
      <c r="B5" s="6" t="n">
        <v>2023</v>
      </c>
      <c r="C5" s="7" t="n">
        <v>10891211111.11111</v>
      </c>
      <c r="D5" s="7" t="n">
        <v>4301016666.666666</v>
      </c>
      <c r="E5" s="7" t="n">
        <v>107600000</v>
      </c>
      <c r="F5" s="7" t="n">
        <v>55178289</v>
      </c>
      <c r="G5" s="7" t="n">
        <v>1461247724</v>
      </c>
      <c r="H5" s="7" t="n">
        <v>608066716</v>
      </c>
      <c r="I5" s="7" t="n">
        <v>1479251635</v>
      </c>
      <c r="J5" s="7" t="n">
        <v>8327023480</v>
      </c>
      <c r="K5" s="7" t="n">
        <v>11331652118</v>
      </c>
      <c r="L5" s="7" t="n">
        <v>8950990</v>
      </c>
      <c r="M5" s="7" t="n">
        <v>11939718834</v>
      </c>
      <c r="N5" s="7" t="n">
        <v>469161111.1111111</v>
      </c>
      <c r="O5" s="7" t="n">
        <v>73105190308</v>
      </c>
      <c r="P5" s="7" t="n">
        <v>5105500</v>
      </c>
      <c r="Q5" s="7" t="n">
        <v>12003608333.33333</v>
      </c>
      <c r="R5" s="10" t="n">
        <v>126.9131423171401</v>
      </c>
      <c r="S5" s="9" t="n">
        <v>13.62</v>
      </c>
      <c r="T5" s="7" t="n">
        <v>9956926920</v>
      </c>
      <c r="U5" s="5" t="inlineStr">
        <is>
          <t>imputado_CAGR</t>
        </is>
      </c>
    </row>
    <row r="6">
      <c r="A6" s="5" t="inlineStr">
        <is>
          <t>Costa Rica</t>
        </is>
      </c>
      <c r="B6" s="6" t="n">
        <v>2024</v>
      </c>
      <c r="C6" s="7" t="n">
        <v>11036058319.07742</v>
      </c>
      <c r="D6" s="7" t="n">
        <v>4358217858.455856</v>
      </c>
      <c r="E6" s="7" t="n">
        <v>844496010</v>
      </c>
      <c r="F6" s="7" t="n">
        <v>59906097</v>
      </c>
      <c r="G6" s="7" t="n">
        <v>1239469177</v>
      </c>
      <c r="H6" s="7" t="n">
        <v>1331030468</v>
      </c>
      <c r="I6" s="7" t="n">
        <v>1498096484</v>
      </c>
      <c r="J6" s="7" t="n">
        <v>8412329098</v>
      </c>
      <c r="K6" s="7" t="n">
        <v>11235637016</v>
      </c>
      <c r="L6" s="7" t="n">
        <v>25836160</v>
      </c>
      <c r="M6" s="7" t="n">
        <v>12566667484</v>
      </c>
      <c r="N6" s="7" t="n">
        <v>1068426120</v>
      </c>
      <c r="O6" s="7" t="n">
        <v>76264229553</v>
      </c>
      <c r="P6" s="7" t="n">
        <v>5129900</v>
      </c>
      <c r="Q6" s="7" t="n">
        <v>12566667480</v>
      </c>
      <c r="R6" s="10" t="n">
        <v>123.2262046945278</v>
      </c>
      <c r="S6" s="9" t="n">
        <v>12.96</v>
      </c>
      <c r="T6" s="7" t="n">
        <v>9883844150</v>
      </c>
      <c r="U6" s="5" t="inlineStr">
        <is>
          <t>imputado_CAGR</t>
        </is>
      </c>
    </row>
    <row r="7">
      <c r="A7" s="5" t="inlineStr">
        <is>
          <t>El Salvador</t>
        </is>
      </c>
      <c r="B7" s="6" t="n">
        <v>2020</v>
      </c>
      <c r="C7" s="7" t="n">
        <v>5989611579.56925</v>
      </c>
      <c r="D7" s="7" t="n">
        <v>1899788311.72667</v>
      </c>
      <c r="E7" s="7" t="n">
        <v>131418937</v>
      </c>
      <c r="F7" s="7" t="n">
        <v>573183789.336</v>
      </c>
      <c r="G7" s="7" t="n">
        <v>14083094</v>
      </c>
      <c r="H7" s="7" t="n">
        <v>953587083.0707999</v>
      </c>
      <c r="I7" s="7" t="n">
        <v>1449967432.474782</v>
      </c>
      <c r="J7" s="7" t="n">
        <v>2066601478.575</v>
      </c>
      <c r="K7" s="7" t="n">
        <v>5002496261.190496</v>
      </c>
      <c r="L7" s="7" t="n">
        <v>898660466.8047142</v>
      </c>
      <c r="M7" s="7" t="n">
        <v>5956083344.261295</v>
      </c>
      <c r="N7" s="7" t="n">
        <v>774027406</v>
      </c>
      <c r="O7" s="7" t="n">
        <v>23744951346</v>
      </c>
      <c r="P7" s="7" t="n">
        <v>6234700</v>
      </c>
      <c r="Q7" s="7" t="n">
        <v>6337214118.330621</v>
      </c>
      <c r="R7" s="8" t="n">
        <v>172.1</v>
      </c>
      <c r="S7" s="9" t="n">
        <v>14.74</v>
      </c>
      <c r="T7" s="7" t="n">
        <v>3500005828</v>
      </c>
      <c r="U7" s="5" t="inlineStr">
        <is>
          <t>real</t>
        </is>
      </c>
    </row>
    <row r="8">
      <c r="A8" s="5" t="inlineStr">
        <is>
          <t>El Salvador</t>
        </is>
      </c>
      <c r="B8" s="6" t="n">
        <v>2021</v>
      </c>
      <c r="C8" s="7" t="n">
        <v>6572535425.319171</v>
      </c>
      <c r="D8" s="7" t="n">
        <v>1925254668.30513</v>
      </c>
      <c r="E8" s="7" t="n">
        <v>33780394</v>
      </c>
      <c r="F8" s="7" t="n">
        <v>646394782.9112519</v>
      </c>
      <c r="G8" s="7" t="n">
        <v>131784887.397</v>
      </c>
      <c r="H8" s="7" t="n">
        <v>960480572.993</v>
      </c>
      <c r="I8" s="7" t="n">
        <v>1451601640</v>
      </c>
      <c r="J8" s="7" t="n">
        <v>1816973756.435874</v>
      </c>
      <c r="K8" s="7" t="n">
        <v>5119954320.491302</v>
      </c>
      <c r="L8" s="7" t="n">
        <v>1073199253.747175</v>
      </c>
      <c r="M8" s="7" t="n">
        <v>6080434893.484302</v>
      </c>
      <c r="N8" s="7" t="n">
        <v>1316745078</v>
      </c>
      <c r="O8" s="7" t="n">
        <v>26571731219</v>
      </c>
      <c r="P8" s="7" t="n">
        <v>6255800</v>
      </c>
      <c r="Q8" s="7" t="n">
        <v>6478970631.54069</v>
      </c>
      <c r="R8" s="8" t="n">
        <v>181.3</v>
      </c>
      <c r="S8" s="9" t="n">
        <v>15.07</v>
      </c>
      <c r="T8" s="7" t="n">
        <v>4004359895</v>
      </c>
      <c r="U8" s="5" t="inlineStr">
        <is>
          <t>real</t>
        </is>
      </c>
    </row>
    <row r="9">
      <c r="A9" s="5" t="inlineStr">
        <is>
          <t>El Salvador</t>
        </is>
      </c>
      <c r="B9" s="6" t="n">
        <v>2022</v>
      </c>
      <c r="C9" s="7" t="n">
        <v>6735768795.503008</v>
      </c>
      <c r="D9" s="7" t="n">
        <v>2251906485.63618</v>
      </c>
      <c r="E9" s="7" t="n">
        <v>338255758</v>
      </c>
      <c r="F9" s="7" t="n">
        <v>574383912.5410049</v>
      </c>
      <c r="G9" s="7" t="n">
        <v>134895960</v>
      </c>
      <c r="H9" s="7" t="n">
        <v>1613270940</v>
      </c>
      <c r="I9" s="7" t="n">
        <v>1468000406.3455</v>
      </c>
      <c r="J9" s="7" t="n">
        <v>2234128623.151297</v>
      </c>
      <c r="K9" s="7" t="n">
        <v>5520626735.794403</v>
      </c>
      <c r="L9" s="7" t="n">
        <v>1109217833.756602</v>
      </c>
      <c r="M9" s="7" t="n">
        <v>7133897675.794404</v>
      </c>
      <c r="N9" s="7" t="n">
        <v>705988168</v>
      </c>
      <c r="O9" s="7" t="n">
        <v>27356823620</v>
      </c>
      <c r="P9" s="7" t="n">
        <v>6280300</v>
      </c>
      <c r="Q9" s="7" t="n">
        <v>7568826296.8969</v>
      </c>
      <c r="R9" s="10" t="n">
        <v>179.7162399335301</v>
      </c>
      <c r="S9" s="9" t="n">
        <v>13.77</v>
      </c>
      <c r="T9" s="7" t="n">
        <v>3767034612</v>
      </c>
      <c r="U9" s="5" t="inlineStr">
        <is>
          <t>imputado_CAGR</t>
        </is>
      </c>
    </row>
    <row r="10">
      <c r="A10" s="5" t="inlineStr">
        <is>
          <t>El Salvador</t>
        </is>
      </c>
      <c r="B10" s="6" t="n">
        <v>2023</v>
      </c>
      <c r="C10" s="7" t="n">
        <v>7092002157.740555</v>
      </c>
      <c r="D10" s="7" t="n">
        <v>2278021107.66192</v>
      </c>
      <c r="E10" s="7" t="n">
        <v>560254446.05</v>
      </c>
      <c r="F10" s="7" t="n">
        <v>554936832.9011635</v>
      </c>
      <c r="G10" s="7" t="n">
        <v>166808864.441239</v>
      </c>
      <c r="H10" s="7" t="n">
        <v>3192481445.696591</v>
      </c>
      <c r="I10" s="7" t="n">
        <v>1478382418.395511</v>
      </c>
      <c r="J10" s="7" t="n">
        <v>1568303355.185902</v>
      </c>
      <c r="K10" s="7" t="n">
        <v>4962535335.473601</v>
      </c>
      <c r="L10" s="7" t="n">
        <v>1194103864.549787</v>
      </c>
      <c r="M10" s="7" t="n">
        <v>8155016781.170194</v>
      </c>
      <c r="N10" s="7" t="n">
        <v>168817927.46</v>
      </c>
      <c r="O10" s="7" t="n">
        <v>28325024474</v>
      </c>
      <c r="P10" s="7" t="n">
        <v>6309600</v>
      </c>
      <c r="Q10" s="7" t="n">
        <v>8621694093.709629</v>
      </c>
      <c r="R10" s="10" t="n">
        <v>178.1463149246892</v>
      </c>
      <c r="S10" s="9" t="n">
        <v>12.49</v>
      </c>
      <c r="T10" s="7" t="n">
        <v>3537795557</v>
      </c>
      <c r="U10" s="5" t="inlineStr">
        <is>
          <t>imputado_CAGR</t>
        </is>
      </c>
    </row>
    <row r="11">
      <c r="A11" s="5" t="inlineStr">
        <is>
          <t>El Salvador</t>
        </is>
      </c>
      <c r="B11" s="6" t="n">
        <v>2024</v>
      </c>
      <c r="C11" s="7" t="n">
        <v>8177120587.333733</v>
      </c>
      <c r="D11" s="7" t="n">
        <v>3073451704.86769</v>
      </c>
      <c r="E11" s="7" t="n">
        <v>253555422</v>
      </c>
      <c r="F11" s="7" t="n">
        <v>563277158.5474143</v>
      </c>
      <c r="G11" s="7" t="n">
        <v>145781067.712465</v>
      </c>
      <c r="H11" s="7" t="n">
        <v>2545667211.150487</v>
      </c>
      <c r="I11" s="7" t="n">
        <v>1481065176.95722</v>
      </c>
      <c r="J11" s="7" t="n">
        <v>2199347694.314363</v>
      </c>
      <c r="K11" s="7" t="n">
        <v>5649433491.728168</v>
      </c>
      <c r="L11" s="7" t="n">
        <v>1259962394.196706</v>
      </c>
      <c r="M11" s="7" t="n">
        <v>8195100702.878655</v>
      </c>
      <c r="N11" s="7" t="n">
        <v>209923642</v>
      </c>
      <c r="O11" s="7" t="n">
        <v>29062047321</v>
      </c>
      <c r="P11" s="7" t="n">
        <v>6338200</v>
      </c>
      <c r="Q11" s="7" t="n">
        <v>8718482019.274775</v>
      </c>
      <c r="R11" s="10" t="n">
        <v>176.5901041162695</v>
      </c>
      <c r="S11" s="9" t="n">
        <v>12.05</v>
      </c>
      <c r="T11" s="7" t="n">
        <v>3501976702</v>
      </c>
      <c r="U11" s="5" t="inlineStr">
        <is>
          <t>imputado_CAGR</t>
        </is>
      </c>
    </row>
    <row r="12">
      <c r="A12" s="5" t="inlineStr">
        <is>
          <t>Guatemala</t>
        </is>
      </c>
      <c r="B12" s="6" t="n">
        <v>2020</v>
      </c>
      <c r="C12" s="7" t="n">
        <v>10381318827.88097</v>
      </c>
      <c r="D12" s="7" t="n">
        <v>3596794939.786423</v>
      </c>
      <c r="E12" s="7" t="n">
        <v>1156029985.482083</v>
      </c>
      <c r="F12" s="7" t="n">
        <v>1747929405.657737</v>
      </c>
      <c r="G12" s="7" t="n">
        <v>312683933.271289</v>
      </c>
      <c r="H12" s="7" t="n">
        <v>2749548307.286509</v>
      </c>
      <c r="I12" s="7" t="n">
        <v>273856028.411881</v>
      </c>
      <c r="J12" s="7" t="n">
        <v>5816537861.373276</v>
      </c>
      <c r="K12" s="7" t="n">
        <v>8372513990.839705</v>
      </c>
      <c r="L12" s="7" t="n">
        <v>221506762.125521</v>
      </c>
      <c r="M12" s="7" t="n">
        <v>11122062298.12621</v>
      </c>
      <c r="N12" s="7" t="n">
        <v>1084603154.340213</v>
      </c>
      <c r="O12" s="7" t="n">
        <v>69530651433</v>
      </c>
      <c r="P12" s="7" t="n">
        <v>17357300</v>
      </c>
      <c r="Q12" s="7" t="n">
        <v>12802809612.39608</v>
      </c>
      <c r="R12" s="8" t="n">
        <v>198.4169956</v>
      </c>
      <c r="S12" s="9" t="n">
        <v>14.11</v>
      </c>
      <c r="T12" s="7" t="n">
        <v>9810774917</v>
      </c>
      <c r="U12" s="5" t="inlineStr">
        <is>
          <t>real</t>
        </is>
      </c>
    </row>
    <row r="13">
      <c r="A13" s="5" t="inlineStr">
        <is>
          <t>Guatemala</t>
        </is>
      </c>
      <c r="B13" s="6" t="n">
        <v>2021</v>
      </c>
      <c r="C13" s="7" t="n">
        <v>11760275770.82695</v>
      </c>
      <c r="D13" s="7" t="n">
        <v>4494679723.764171</v>
      </c>
      <c r="E13" s="7" t="n">
        <v>1115753227</v>
      </c>
      <c r="F13" s="7" t="n">
        <v>1745117716.165498</v>
      </c>
      <c r="G13" s="7" t="n">
        <v>323795320.1971099</v>
      </c>
      <c r="H13" s="7" t="n">
        <v>3419302601.527928</v>
      </c>
      <c r="I13" s="7" t="n">
        <v>264968281.6851121</v>
      </c>
      <c r="J13" s="7" t="n">
        <v>5960292961.288567</v>
      </c>
      <c r="K13" s="7" t="n">
        <v>8523774578.983949</v>
      </c>
      <c r="L13" s="7" t="n">
        <v>229600299.647661</v>
      </c>
      <c r="M13" s="7" t="n">
        <v>11943077180.51188</v>
      </c>
      <c r="N13" s="7" t="n">
        <v>1140939162</v>
      </c>
      <c r="O13" s="7" t="n">
        <v>75122100459</v>
      </c>
      <c r="P13" s="7" t="n">
        <v>17598700</v>
      </c>
      <c r="Q13" s="7" t="n">
        <v>14387941156.56</v>
      </c>
      <c r="R13" s="8" t="n">
        <v>205.1305854</v>
      </c>
      <c r="S13" s="9" t="n">
        <v>13.93</v>
      </c>
      <c r="T13" s="7" t="n">
        <v>10464508594</v>
      </c>
      <c r="U13" s="5" t="inlineStr">
        <is>
          <t>real</t>
        </is>
      </c>
    </row>
    <row r="14">
      <c r="A14" s="5" t="inlineStr">
        <is>
          <t>Guatemala</t>
        </is>
      </c>
      <c r="B14" s="6" t="n">
        <v>2022</v>
      </c>
      <c r="C14" s="7" t="n">
        <v>11251694641.70432</v>
      </c>
      <c r="D14" s="7" t="n">
        <v>4260006455.777921</v>
      </c>
      <c r="E14" s="7" t="n">
        <v>1103954163.976759</v>
      </c>
      <c r="F14" s="7" t="n">
        <v>1658754896.335513</v>
      </c>
      <c r="G14" s="7" t="n">
        <v>313795088.5738029</v>
      </c>
      <c r="H14" s="7" t="n">
        <v>2608084231.946715</v>
      </c>
      <c r="I14" s="7" t="n">
        <v>281988600.762248</v>
      </c>
      <c r="J14" s="7" t="n">
        <v>6942219059.810484</v>
      </c>
      <c r="K14" s="7" t="n">
        <v>9416624204.104548</v>
      </c>
      <c r="L14" s="7" t="n">
        <v>219866558.6225</v>
      </c>
      <c r="M14" s="7" t="n">
        <v>12024708436.05126</v>
      </c>
      <c r="N14" s="7" t="n">
        <v>1480794060.684312</v>
      </c>
      <c r="O14" s="7" t="n">
        <v>78265598404</v>
      </c>
      <c r="P14" s="7" t="n">
        <v>17847900</v>
      </c>
      <c r="Q14" s="7" t="n">
        <v>13148030987.73402</v>
      </c>
      <c r="R14" s="8" t="n">
        <v>223.8608941</v>
      </c>
      <c r="S14" s="9" t="n">
        <v>14.08</v>
      </c>
      <c r="T14" s="7" t="n">
        <v>11019796255</v>
      </c>
      <c r="U14" s="5" t="inlineStr">
        <is>
          <t>real</t>
        </is>
      </c>
    </row>
    <row r="15">
      <c r="A15" s="5" t="inlineStr">
        <is>
          <t>Guatemala</t>
        </is>
      </c>
      <c r="B15" s="6" t="n">
        <v>2023</v>
      </c>
      <c r="C15" s="7" t="n">
        <v>12228025973.64514</v>
      </c>
      <c r="D15" s="7" t="n">
        <v>4715054404.868784</v>
      </c>
      <c r="E15" s="7" t="n">
        <v>1064254057.77241</v>
      </c>
      <c r="F15" s="7" t="n">
        <v>1648967609.408662</v>
      </c>
      <c r="G15" s="7" t="n">
        <v>343956781.313806</v>
      </c>
      <c r="H15" s="7" t="n">
        <v>4126729436.083286</v>
      </c>
      <c r="I15" s="7" t="n">
        <v>285438304.177901</v>
      </c>
      <c r="J15" s="7" t="n">
        <v>5571879339.548999</v>
      </c>
      <c r="K15" s="7" t="n">
        <v>8096160374.298022</v>
      </c>
      <c r="L15" s="7" t="n">
        <v>245918339.848653</v>
      </c>
      <c r="M15" s="7" t="n">
        <v>12222889810.38131</v>
      </c>
      <c r="N15" s="7" t="n">
        <v>1944252021.78519</v>
      </c>
      <c r="O15" s="7" t="n">
        <v>81030845278</v>
      </c>
      <c r="P15" s="7" t="n">
        <v>18124800</v>
      </c>
      <c r="Q15" s="7" t="n">
        <v>13621221133.1545</v>
      </c>
      <c r="R15" s="10" t="n">
        <v>228.0722795102088</v>
      </c>
      <c r="S15" s="9" t="n">
        <v>14.01</v>
      </c>
      <c r="T15" s="7" t="n">
        <v>11352421423</v>
      </c>
      <c r="U15" s="5" t="inlineStr">
        <is>
          <t>imputado_CAGR</t>
        </is>
      </c>
    </row>
    <row r="16">
      <c r="A16" s="5" t="inlineStr">
        <is>
          <t>Guatemala</t>
        </is>
      </c>
      <c r="B16" s="6" t="n">
        <v>2024</v>
      </c>
      <c r="C16" s="7" t="n">
        <v>12854214135.56438</v>
      </c>
      <c r="D16" s="7" t="n">
        <v>4834393544.672973</v>
      </c>
      <c r="E16" s="7" t="n">
        <v>1026370000</v>
      </c>
      <c r="F16" s="7" t="n">
        <v>1611651720.578104</v>
      </c>
      <c r="G16" s="7" t="n">
        <v>286433856.923678</v>
      </c>
      <c r="H16" s="7" t="n">
        <v>5358007961.876712</v>
      </c>
      <c r="I16" s="7" t="n">
        <v>275036430.535443</v>
      </c>
      <c r="J16" s="7" t="n">
        <v>5334173969.114594</v>
      </c>
      <c r="K16" s="7" t="n">
        <v>7759399497.414397</v>
      </c>
      <c r="L16" s="7" t="n">
        <v>252103520.262577</v>
      </c>
      <c r="M16" s="7" t="n">
        <v>13117407459.29111</v>
      </c>
      <c r="N16" s="7" t="n">
        <v>1862880000</v>
      </c>
      <c r="O16" s="7" t="n">
        <v>83989981407</v>
      </c>
      <c r="P16" s="7" t="n">
        <v>18406400</v>
      </c>
      <c r="Q16" s="7" t="n">
        <v>14780898699.78857</v>
      </c>
      <c r="R16" s="10" t="n">
        <v>232.3628916524676</v>
      </c>
      <c r="S16" s="9" t="n">
        <v>13.59</v>
      </c>
      <c r="T16" s="7" t="n">
        <v>11414238473</v>
      </c>
      <c r="U16" s="5" t="inlineStr">
        <is>
          <t>imputado_CAGR</t>
        </is>
      </c>
    </row>
    <row r="17">
      <c r="A17" s="5" t="inlineStr">
        <is>
          <t>Honduras</t>
        </is>
      </c>
      <c r="B17" s="6" t="n">
        <v>2020</v>
      </c>
      <c r="C17" s="7" t="n">
        <v>6630176580.004001</v>
      </c>
      <c r="D17" s="7" t="n">
        <v>2082752376.98</v>
      </c>
      <c r="E17" s="7" t="n">
        <v>458032020</v>
      </c>
      <c r="F17" s="7" t="n">
        <v>789122860.1591777</v>
      </c>
      <c r="G17" s="7" t="n">
        <v>708880849.1499999</v>
      </c>
      <c r="H17" s="7" t="n">
        <v>4447859092.923778</v>
      </c>
      <c r="I17" s="7" t="n">
        <v>306988344.2</v>
      </c>
      <c r="J17" s="7" t="n">
        <v>2700639975.149999</v>
      </c>
      <c r="K17" s="7" t="n">
        <v>5618444648.561976</v>
      </c>
      <c r="L17" s="7" t="n">
        <v>1112812619.9028</v>
      </c>
      <c r="M17" s="7" t="n">
        <v>10066303741.48575</v>
      </c>
      <c r="N17" s="7" t="n">
        <v>742867040</v>
      </c>
      <c r="O17" s="7" t="n">
        <v>22156260474</v>
      </c>
      <c r="P17" s="7" t="n">
        <v>10119600</v>
      </c>
      <c r="Q17" s="7" t="n">
        <v>9972584664.117781</v>
      </c>
      <c r="R17" s="8" t="n">
        <v>177.5796295</v>
      </c>
      <c r="S17" s="9" t="n">
        <v>16.23</v>
      </c>
      <c r="T17" s="7" t="n">
        <v>3595961075</v>
      </c>
      <c r="U17" s="5" t="inlineStr">
        <is>
          <t>real</t>
        </is>
      </c>
    </row>
    <row r="18">
      <c r="A18" s="5" t="inlineStr">
        <is>
          <t>Honduras</t>
        </is>
      </c>
      <c r="B18" s="6" t="n">
        <v>2021</v>
      </c>
      <c r="C18" s="7" t="n">
        <v>7757076907.626801</v>
      </c>
      <c r="D18" s="7" t="n">
        <v>2590393558.7628</v>
      </c>
      <c r="E18" s="7" t="n">
        <v>2549480</v>
      </c>
      <c r="F18" s="7" t="n">
        <v>803815455.64</v>
      </c>
      <c r="G18" s="7" t="n">
        <v>776561550.502852</v>
      </c>
      <c r="H18" s="7" t="n">
        <v>4247795081.185925</v>
      </c>
      <c r="I18" s="7" t="n">
        <v>348197055.39</v>
      </c>
      <c r="J18" s="7" t="n">
        <v>3765217383.54</v>
      </c>
      <c r="K18" s="7" t="n">
        <v>6834248095.756697</v>
      </c>
      <c r="L18" s="7" t="n">
        <v>1140456650.683844</v>
      </c>
      <c r="M18" s="7" t="n">
        <v>11082043176.94262</v>
      </c>
      <c r="N18" s="7" t="n">
        <v>204482580</v>
      </c>
      <c r="O18" s="7" t="n">
        <v>24940257610</v>
      </c>
      <c r="P18" s="7" t="n">
        <v>10289900</v>
      </c>
      <c r="Q18" s="7" t="n">
        <v>10956798194.2968</v>
      </c>
      <c r="R18" s="8" t="n">
        <v>183.4035322</v>
      </c>
      <c r="S18" s="9" t="n">
        <v>16.22</v>
      </c>
      <c r="T18" s="7" t="n">
        <v>4045309784</v>
      </c>
      <c r="U18" s="5" t="inlineStr">
        <is>
          <t>real</t>
        </is>
      </c>
    </row>
    <row r="19">
      <c r="A19" s="5" t="inlineStr">
        <is>
          <t>Honduras</t>
        </is>
      </c>
      <c r="B19" s="6" t="n">
        <v>2022</v>
      </c>
      <c r="C19" s="7" t="n">
        <v>7605094785.756801</v>
      </c>
      <c r="D19" s="7" t="n">
        <v>2715084125.272</v>
      </c>
      <c r="E19" s="7" t="n">
        <v>4995220</v>
      </c>
      <c r="F19" s="7" t="n">
        <v>805405070.28</v>
      </c>
      <c r="G19" s="7" t="n">
        <v>686366149.0664217</v>
      </c>
      <c r="H19" s="7" t="n">
        <v>4535761331.432799</v>
      </c>
      <c r="I19" s="7" t="n">
        <v>337185828.39</v>
      </c>
      <c r="J19" s="7" t="n">
        <v>3882502375.399999</v>
      </c>
      <c r="K19" s="7" t="n">
        <v>6749376814.843387</v>
      </c>
      <c r="L19" s="7" t="n">
        <v>1037917391.706966</v>
      </c>
      <c r="M19" s="7" t="n">
        <v>11285138146.27619</v>
      </c>
      <c r="N19" s="7" t="n">
        <v>195198780</v>
      </c>
      <c r="O19" s="7" t="n">
        <v>25973672632</v>
      </c>
      <c r="P19" s="7" t="n">
        <v>10463900</v>
      </c>
      <c r="Q19" s="7" t="n">
        <v>11149350000</v>
      </c>
      <c r="R19" s="8" t="n">
        <v>235.3732001</v>
      </c>
      <c r="S19" s="9" t="n">
        <v>16.22</v>
      </c>
      <c r="T19" s="7" t="n">
        <v>4212929701</v>
      </c>
      <c r="U19" s="5" t="inlineStr">
        <is>
          <t>real</t>
        </is>
      </c>
    </row>
    <row r="20">
      <c r="A20" s="5" t="inlineStr">
        <is>
          <t>Honduras</t>
        </is>
      </c>
      <c r="B20" s="6" t="n">
        <v>2023</v>
      </c>
      <c r="C20" s="7" t="n">
        <v>7842325135.742399</v>
      </c>
      <c r="D20" s="7" t="n">
        <v>2540883186.75501</v>
      </c>
      <c r="E20" s="7" t="n">
        <v>8810905</v>
      </c>
      <c r="F20" s="7" t="n">
        <v>797879741.4461999</v>
      </c>
      <c r="G20" s="7" t="n">
        <v>770137201.9943999</v>
      </c>
      <c r="H20" s="7" t="n">
        <v>5655079745.283826</v>
      </c>
      <c r="I20" s="7" t="n">
        <v>318264599.9690001</v>
      </c>
      <c r="J20" s="7" t="n">
        <v>3208235697.852269</v>
      </c>
      <c r="K20" s="7" t="n">
        <v>6188839338.402869</v>
      </c>
      <c r="L20" s="7" t="n">
        <v>1094322097.141</v>
      </c>
      <c r="M20" s="7" t="n">
        <v>11843919083.6867</v>
      </c>
      <c r="N20" s="7" t="n">
        <v>148639652.06602</v>
      </c>
      <c r="O20" s="7" t="n">
        <v>26902451582</v>
      </c>
      <c r="P20" s="7" t="n">
        <v>10644900</v>
      </c>
      <c r="Q20" s="7" t="n">
        <v>11843919083.6867</v>
      </c>
      <c r="R20" s="10" t="n">
        <v>250.4566627864852</v>
      </c>
      <c r="S20" s="9" t="n">
        <v>15.21</v>
      </c>
      <c r="T20" s="7" t="n">
        <v>4091862886</v>
      </c>
      <c r="U20" s="5" t="inlineStr">
        <is>
          <t>imputado_CAGR</t>
        </is>
      </c>
    </row>
    <row r="21">
      <c r="A21" s="5" t="inlineStr">
        <is>
          <t>Honduras</t>
        </is>
      </c>
      <c r="B21" s="6" t="n">
        <v>2024</v>
      </c>
      <c r="C21" s="7" t="n">
        <v>8660470000.000002</v>
      </c>
      <c r="D21" s="7" t="n">
        <v>2853210000</v>
      </c>
      <c r="E21" s="7" t="n">
        <v>14780000</v>
      </c>
      <c r="F21" s="7" t="n">
        <v>691707629.4299999</v>
      </c>
      <c r="G21" s="7" t="n">
        <v>666599626.1257728</v>
      </c>
      <c r="H21" s="7" t="n">
        <v>6049030178.419794</v>
      </c>
      <c r="I21" s="7" t="n">
        <v>304838609.9999999</v>
      </c>
      <c r="J21" s="7" t="n">
        <v>3834279838.060041</v>
      </c>
      <c r="K21" s="7" t="n">
        <v>6645210909.126621</v>
      </c>
      <c r="L21" s="7" t="n">
        <v>1147785205.510806</v>
      </c>
      <c r="M21" s="7" t="n">
        <v>12694241087.54642</v>
      </c>
      <c r="N21" s="7" t="n">
        <v>158800000</v>
      </c>
      <c r="O21" s="7" t="n">
        <v>27858556650</v>
      </c>
      <c r="P21" s="7" t="n">
        <v>10825700</v>
      </c>
      <c r="Q21" s="7" t="n">
        <v>12694240000</v>
      </c>
      <c r="R21" s="10" t="n">
        <v>266.5067216976805</v>
      </c>
      <c r="S21" s="9" t="n">
        <v>14.87</v>
      </c>
      <c r="T21" s="7" t="n">
        <v>4142567374</v>
      </c>
      <c r="U21" s="5" t="inlineStr">
        <is>
          <t>imputado_CAGR</t>
        </is>
      </c>
    </row>
    <row r="22">
      <c r="A22" s="5" t="inlineStr">
        <is>
          <t>Nicaragua</t>
        </is>
      </c>
      <c r="B22" s="6" t="n">
        <v>2020</v>
      </c>
      <c r="C22" s="7" t="n">
        <v>3652700000</v>
      </c>
      <c r="D22" s="7" t="n">
        <v>1041500000</v>
      </c>
      <c r="E22" s="7" t="n">
        <v>0</v>
      </c>
      <c r="F22" s="7" t="n">
        <v>732777376.1099999</v>
      </c>
      <c r="G22" s="7" t="n">
        <v>549933445.2540408</v>
      </c>
      <c r="H22" s="7" t="n">
        <v>1146608254.555145</v>
      </c>
      <c r="I22" s="7" t="n">
        <v>767312038.8521041</v>
      </c>
      <c r="J22" s="7" t="n">
        <v>574471109.2130231</v>
      </c>
      <c r="K22" s="7" t="n">
        <v>2650449286.750187</v>
      </c>
      <c r="L22" s="7" t="n">
        <v>25955317.32101921</v>
      </c>
      <c r="M22" s="7" t="n">
        <v>3797057541.305332</v>
      </c>
      <c r="N22" s="7" t="n">
        <v>1070700000</v>
      </c>
      <c r="O22" s="7" t="n">
        <v>12803529948</v>
      </c>
      <c r="P22" s="7" t="n">
        <v>6565300</v>
      </c>
      <c r="Q22" s="7" t="n">
        <v>3810400000</v>
      </c>
      <c r="R22" s="8" t="n">
        <v>217.986087</v>
      </c>
      <c r="S22" s="9" t="n">
        <v>13.97</v>
      </c>
      <c r="T22" s="7" t="n">
        <v>1788653134</v>
      </c>
      <c r="U22" s="5" t="inlineStr">
        <is>
          <t>real</t>
        </is>
      </c>
    </row>
    <row r="23">
      <c r="A23" s="5" t="inlineStr">
        <is>
          <t>Nicaragua</t>
        </is>
      </c>
      <c r="B23" s="6" t="n">
        <v>2021</v>
      </c>
      <c r="C23" s="7" t="n">
        <v>3903200000</v>
      </c>
      <c r="D23" s="7" t="n">
        <v>1194700000</v>
      </c>
      <c r="E23" s="7" t="n">
        <v>0</v>
      </c>
      <c r="F23" s="7" t="n">
        <v>898786975.8497533</v>
      </c>
      <c r="G23" s="7" t="n">
        <v>655837497.9546025</v>
      </c>
      <c r="H23" s="7" t="n">
        <v>1297539447.370512</v>
      </c>
      <c r="I23" s="7" t="n">
        <v>734031979.501</v>
      </c>
      <c r="J23" s="7" t="n">
        <v>599025565.5284923</v>
      </c>
      <c r="K23" s="7" t="n">
        <v>2914953606.913848</v>
      </c>
      <c r="L23" s="7" t="n">
        <v>27271588.08</v>
      </c>
      <c r="M23" s="7" t="n">
        <v>4212493054.28436</v>
      </c>
      <c r="N23" s="7" t="n">
        <v>1005200000</v>
      </c>
      <c r="O23" s="7" t="n">
        <v>14142060837</v>
      </c>
      <c r="P23" s="7" t="n">
        <v>6644700</v>
      </c>
      <c r="Q23" s="7" t="n">
        <v>4204200000</v>
      </c>
      <c r="R23" s="8" t="n">
        <v>195.3228512</v>
      </c>
      <c r="S23" s="9" t="n">
        <v>14.53</v>
      </c>
      <c r="T23" s="7" t="n">
        <v>2054841440</v>
      </c>
      <c r="U23" s="5" t="inlineStr">
        <is>
          <t>real</t>
        </is>
      </c>
    </row>
    <row r="24">
      <c r="A24" s="5" t="inlineStr">
        <is>
          <t>Nicaragua</t>
        </is>
      </c>
      <c r="B24" s="6" t="n">
        <v>2022</v>
      </c>
      <c r="C24" s="7" t="n">
        <v>3998600000</v>
      </c>
      <c r="D24" s="7" t="n">
        <v>1249400000</v>
      </c>
      <c r="E24" s="7" t="n">
        <v>0</v>
      </c>
      <c r="F24" s="7" t="n">
        <v>890452524</v>
      </c>
      <c r="G24" s="7" t="n">
        <v>561871825.4424978</v>
      </c>
      <c r="H24" s="7" t="n">
        <v>1476887490.03</v>
      </c>
      <c r="I24" s="7" t="n">
        <v>687169155.8334744</v>
      </c>
      <c r="J24" s="7" t="n">
        <v>650152244.1048644</v>
      </c>
      <c r="K24" s="7" t="n">
        <v>2815745511.600837</v>
      </c>
      <c r="L24" s="7" t="n">
        <v>26099762.22</v>
      </c>
      <c r="M24" s="7" t="n">
        <v>4292633001.630837</v>
      </c>
      <c r="N24" s="7" t="n">
        <v>1062200000</v>
      </c>
      <c r="O24" s="7" t="n">
        <v>14644146346</v>
      </c>
      <c r="P24" s="7" t="n">
        <v>6730700</v>
      </c>
      <c r="Q24" s="7" t="n">
        <v>4263900000</v>
      </c>
      <c r="R24" s="8" t="n">
        <v>196.4771536</v>
      </c>
      <c r="S24" s="9" t="n">
        <v>14.44</v>
      </c>
      <c r="T24" s="7" t="n">
        <v>2114614732</v>
      </c>
      <c r="U24" s="5" t="inlineStr">
        <is>
          <t>real</t>
        </is>
      </c>
    </row>
    <row r="25">
      <c r="A25" s="5" t="inlineStr">
        <is>
          <t>Nicaragua</t>
        </is>
      </c>
      <c r="B25" s="6" t="n">
        <v>2023</v>
      </c>
      <c r="C25" s="7" t="n">
        <v>4158600000.000001</v>
      </c>
      <c r="D25" s="7" t="n">
        <v>1219000000</v>
      </c>
      <c r="E25" s="7" t="n">
        <v>0</v>
      </c>
      <c r="F25" s="7" t="n">
        <v>914558663.0001074</v>
      </c>
      <c r="G25" s="7" t="n">
        <v>665344227.8448688</v>
      </c>
      <c r="H25" s="7" t="n">
        <v>2001686144.72972</v>
      </c>
      <c r="I25" s="7" t="n">
        <v>751148852.9450346</v>
      </c>
      <c r="J25" s="7" t="n">
        <v>469541975.8358402</v>
      </c>
      <c r="K25" s="7" t="n">
        <v>2827815214.094135</v>
      </c>
      <c r="L25" s="7" t="n">
        <v>27221494.468284</v>
      </c>
      <c r="M25" s="7" t="n">
        <v>4829501358.823854</v>
      </c>
      <c r="N25" s="7" t="n">
        <v>817200000</v>
      </c>
      <c r="O25" s="7" t="n">
        <v>15292551635</v>
      </c>
      <c r="P25" s="7" t="n">
        <v>6823600</v>
      </c>
      <c r="Q25" s="7" t="n">
        <v>4778800000</v>
      </c>
      <c r="R25" s="10" t="n">
        <v>195.4116689661529</v>
      </c>
      <c r="S25" s="9" t="n">
        <v>14.43</v>
      </c>
      <c r="T25" s="7" t="n">
        <v>2206715201</v>
      </c>
      <c r="U25" s="5" t="inlineStr">
        <is>
          <t>imputado_CAGR</t>
        </is>
      </c>
    </row>
    <row r="26">
      <c r="A26" s="5" t="inlineStr">
        <is>
          <t>Nicaragua</t>
        </is>
      </c>
      <c r="B26" s="6" t="n">
        <v>2024</v>
      </c>
      <c r="C26" s="7" t="n">
        <v>4241772000</v>
      </c>
      <c r="D26" s="7" t="n">
        <v>1243380000</v>
      </c>
      <c r="E26" s="7" t="n">
        <v>0</v>
      </c>
      <c r="F26" s="7" t="n">
        <v>939317398.2047628</v>
      </c>
      <c r="G26" s="7" t="n">
        <v>787871755.5874119</v>
      </c>
      <c r="H26" s="7" t="n">
        <v>2712967270.05355</v>
      </c>
      <c r="I26" s="7" t="n">
        <v>821085455.4382429</v>
      </c>
      <c r="J26" s="7" t="n">
        <v>339104677.5134482</v>
      </c>
      <c r="K26" s="7" t="n">
        <v>2915770723.985351</v>
      </c>
      <c r="L26" s="7" t="n">
        <v>28391437.24148521</v>
      </c>
      <c r="M26" s="7" t="n">
        <v>5628737994.038901</v>
      </c>
      <c r="N26" s="7" t="n">
        <v>863539434.9383209</v>
      </c>
      <c r="O26" s="7" t="n">
        <v>15841222425</v>
      </c>
      <c r="P26" s="7" t="n">
        <v>6916100</v>
      </c>
      <c r="Q26" s="7" t="n">
        <v>4874376000</v>
      </c>
      <c r="R26" s="10" t="n">
        <v>194.3519623959848</v>
      </c>
      <c r="S26" s="9" t="n">
        <v>13.51</v>
      </c>
      <c r="T26" s="7" t="n">
        <v>2140149150</v>
      </c>
      <c r="U26" s="5" t="inlineStr">
        <is>
          <t>imputado_CAGR</t>
        </is>
      </c>
    </row>
    <row r="27">
      <c r="A27" s="5" t="inlineStr">
        <is>
          <t>Panamá</t>
        </is>
      </c>
      <c r="B27" s="6" t="n">
        <v>2020</v>
      </c>
      <c r="C27" s="7" t="n">
        <v>11024136726.20858</v>
      </c>
      <c r="D27" s="7" t="n">
        <v>448599866.781189</v>
      </c>
      <c r="E27" s="7" t="n">
        <v>566739831.6976609</v>
      </c>
      <c r="F27" s="7" t="n">
        <v>29800000</v>
      </c>
      <c r="G27" s="7" t="n">
        <v>584200000</v>
      </c>
      <c r="H27" s="7" t="n">
        <v>4487340000</v>
      </c>
      <c r="I27" s="7" t="n">
        <v>0</v>
      </c>
      <c r="J27" s="7" t="n">
        <v>7349200000</v>
      </c>
      <c r="K27" s="7" t="n">
        <v>8348199999.999999</v>
      </c>
      <c r="L27" s="7" t="n">
        <v>385000000</v>
      </c>
      <c r="M27" s="7" t="n">
        <v>12835540000</v>
      </c>
      <c r="N27" s="7" t="n">
        <v>116869965.293619</v>
      </c>
      <c r="O27" s="7" t="n">
        <v>54297226728</v>
      </c>
      <c r="P27" s="7" t="n">
        <v>4293300</v>
      </c>
      <c r="Q27" s="7" t="n">
        <v>13171436088.53416</v>
      </c>
      <c r="R27" s="8" t="n">
        <v>179</v>
      </c>
      <c r="S27" s="9" t="n">
        <v>5.67</v>
      </c>
      <c r="T27" s="7" t="n">
        <v>3078652755</v>
      </c>
      <c r="U27" s="5" t="inlineStr">
        <is>
          <t>real</t>
        </is>
      </c>
    </row>
    <row r="28">
      <c r="A28" s="5" t="inlineStr">
        <is>
          <t>Panamá</t>
        </is>
      </c>
      <c r="B28" s="6" t="n">
        <v>2021</v>
      </c>
      <c r="C28" s="7" t="n">
        <v>12158116389.45544</v>
      </c>
      <c r="D28" s="7" t="n">
        <v>577299828.5617039</v>
      </c>
      <c r="E28" s="7" t="n">
        <v>501799850.982614</v>
      </c>
      <c r="F28" s="7" t="n">
        <v>47998999.99999999</v>
      </c>
      <c r="G28" s="7" t="n">
        <v>529600000</v>
      </c>
      <c r="H28" s="7" t="n">
        <v>4407000000</v>
      </c>
      <c r="I28" s="7" t="n">
        <v>0</v>
      </c>
      <c r="J28" s="7" t="n">
        <v>8345299999.999999</v>
      </c>
      <c r="K28" s="7" t="n">
        <v>9594399000</v>
      </c>
      <c r="L28" s="7" t="n">
        <v>671500000</v>
      </c>
      <c r="M28" s="7" t="n">
        <v>14001399000</v>
      </c>
      <c r="N28" s="7" t="n">
        <v>63099981.2614646</v>
      </c>
      <c r="O28" s="7" t="n">
        <v>63238418849</v>
      </c>
      <c r="P28" s="7" t="n">
        <v>4345400</v>
      </c>
      <c r="Q28" s="7" t="n">
        <v>13975895849.63715</v>
      </c>
      <c r="R28" s="8" t="n">
        <v>162.7</v>
      </c>
      <c r="S28" s="9" t="n">
        <v>5.28</v>
      </c>
      <c r="T28" s="7" t="n">
        <v>3338988515</v>
      </c>
      <c r="U28" s="5" t="inlineStr">
        <is>
          <t>real</t>
        </is>
      </c>
    </row>
    <row r="29">
      <c r="A29" s="5" t="inlineStr">
        <is>
          <t>Panamá</t>
        </is>
      </c>
      <c r="B29" s="6" t="n">
        <v>2022</v>
      </c>
      <c r="C29" s="7" t="n">
        <v>12654900000</v>
      </c>
      <c r="D29" s="7" t="n">
        <v>369200000</v>
      </c>
      <c r="E29" s="7" t="n">
        <v>391600000</v>
      </c>
      <c r="F29" s="7" t="n">
        <v>73200000</v>
      </c>
      <c r="G29" s="7" t="n">
        <v>579300000</v>
      </c>
      <c r="H29" s="7" t="n">
        <v>4593549999.999999</v>
      </c>
      <c r="I29" s="7" t="n">
        <v>0</v>
      </c>
      <c r="J29" s="7" t="n">
        <v>8117400000</v>
      </c>
      <c r="K29" s="7" t="n">
        <v>9473000000</v>
      </c>
      <c r="L29" s="7" t="n">
        <v>703100000</v>
      </c>
      <c r="M29" s="7" t="n">
        <v>14066550000</v>
      </c>
      <c r="N29" s="7" t="n">
        <v>234600000</v>
      </c>
      <c r="O29" s="7" t="n">
        <v>70219021769</v>
      </c>
      <c r="P29" s="7" t="n">
        <v>4400800</v>
      </c>
      <c r="Q29" s="7" t="n">
        <v>14067600000</v>
      </c>
      <c r="R29" s="8" t="n">
        <v>180.9006799</v>
      </c>
      <c r="S29" s="9" t="n">
        <v>5.09</v>
      </c>
      <c r="T29" s="7" t="n">
        <v>3574148208</v>
      </c>
      <c r="U29" s="5" t="inlineStr">
        <is>
          <t>real</t>
        </is>
      </c>
    </row>
    <row r="30">
      <c r="A30" s="5" t="inlineStr">
        <is>
          <t>Panamá</t>
        </is>
      </c>
      <c r="B30" s="6" t="n">
        <v>2023</v>
      </c>
      <c r="C30" s="7" t="n">
        <v>13381475784.7617</v>
      </c>
      <c r="D30" s="7" t="n">
        <v>955772587.6423759</v>
      </c>
      <c r="E30" s="7" t="n">
        <v>269722186.9017394</v>
      </c>
      <c r="F30" s="7" t="n">
        <v>48600000</v>
      </c>
      <c r="G30" s="7" t="n">
        <v>891650000</v>
      </c>
      <c r="H30" s="7" t="n">
        <v>6583509999.999999</v>
      </c>
      <c r="I30" s="7" t="n">
        <v>0</v>
      </c>
      <c r="J30" s="7" t="n">
        <v>6140800000</v>
      </c>
      <c r="K30" s="7" t="n">
        <v>7947870000</v>
      </c>
      <c r="L30" s="7" t="n">
        <v>866820000</v>
      </c>
      <c r="M30" s="7" t="n">
        <v>14531380000</v>
      </c>
      <c r="N30" s="7" t="n">
        <v>126489378.4369823</v>
      </c>
      <c r="O30" s="7" t="n">
        <v>75251148213</v>
      </c>
      <c r="P30" s="7" t="n">
        <v>4458800</v>
      </c>
      <c r="Q30" s="7" t="n">
        <v>14592568200.51513</v>
      </c>
      <c r="R30" s="10" t="n">
        <v>177.727814393776</v>
      </c>
      <c r="S30" s="9" t="n">
        <v>4.98</v>
      </c>
      <c r="T30" s="7" t="n">
        <v>3747507181</v>
      </c>
      <c r="U30" s="5" t="inlineStr">
        <is>
          <t>imputado_CAGR</t>
        </is>
      </c>
    </row>
    <row r="31">
      <c r="A31" s="5" t="inlineStr">
        <is>
          <t>Panamá</t>
        </is>
      </c>
      <c r="B31" s="6" t="n">
        <v>2024</v>
      </c>
      <c r="C31" s="7" t="n">
        <v>10465408253.44512</v>
      </c>
      <c r="D31" s="7" t="n">
        <v>948892497.1244906</v>
      </c>
      <c r="E31" s="7" t="n">
        <v>593509261</v>
      </c>
      <c r="F31" s="7" t="n">
        <v>20146813.19999999</v>
      </c>
      <c r="G31" s="7" t="n">
        <v>667771533.2999996</v>
      </c>
      <c r="H31" s="7" t="n">
        <v>3511525468.399998</v>
      </c>
      <c r="I31" s="7" t="n">
        <v>0</v>
      </c>
      <c r="J31" s="7" t="n">
        <v>7817491919.378501</v>
      </c>
      <c r="K31" s="7" t="n">
        <v>9529959002.078501</v>
      </c>
      <c r="L31" s="7" t="n">
        <v>1024548736.2</v>
      </c>
      <c r="M31" s="7" t="n">
        <v>13041484470.4785</v>
      </c>
      <c r="N31" s="7" t="n">
        <v>54920007</v>
      </c>
      <c r="O31" s="7" t="n">
        <v>77318963570</v>
      </c>
      <c r="P31" s="7" t="n">
        <v>4515600</v>
      </c>
      <c r="Q31" s="7" t="n">
        <v>13452447132.86343</v>
      </c>
      <c r="R31" s="10" t="n">
        <v>174.610598625995</v>
      </c>
      <c r="S31" s="9" t="n">
        <v>4.87</v>
      </c>
      <c r="T31" s="7" t="n">
        <v>3765433526</v>
      </c>
      <c r="U31" s="5" t="inlineStr">
        <is>
          <t>imputado_CAGR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ECO1 — Uso de energía per cápita (kWh/habitante)</t>
        </is>
      </c>
    </row>
    <row r="2">
      <c r="A2" s="2" t="inlineStr">
        <is>
          <t>Fórmula: Consumo Final Total (kWh) ÷ Población Total (habitantes)</t>
        </is>
      </c>
    </row>
    <row r="3">
      <c r="A3" s="11" t="inlineStr">
        <is>
          <t>País</t>
        </is>
      </c>
      <c r="B3" s="11" t="n">
        <v>2020</v>
      </c>
      <c r="C3" s="11" t="n">
        <v>2021</v>
      </c>
      <c r="D3" s="11" t="n">
        <v>2022</v>
      </c>
      <c r="E3" s="11" t="n">
        <v>2023</v>
      </c>
      <c r="F3" s="11" t="n">
        <v>2024</v>
      </c>
    </row>
    <row r="4">
      <c r="A4" s="12" t="inlineStr">
        <is>
          <t>Costa Rica</t>
        </is>
      </c>
      <c r="B4" s="7">
        <f>Datos_Base!C2/Datos_Base!P2</f>
        <v/>
      </c>
      <c r="C4" s="7">
        <f>Datos_Base!C3/Datos_Base!P3</f>
        <v/>
      </c>
      <c r="D4" s="7">
        <f>Datos_Base!C4/Datos_Base!P4</f>
        <v/>
      </c>
      <c r="E4" s="7">
        <f>Datos_Base!C5/Datos_Base!P5</f>
        <v/>
      </c>
      <c r="F4" s="7">
        <f>Datos_Base!C6/Datos_Base!P6</f>
        <v/>
      </c>
    </row>
    <row r="5">
      <c r="A5" s="12" t="inlineStr">
        <is>
          <t>El Salvador</t>
        </is>
      </c>
      <c r="B5" s="7">
        <f>Datos_Base!C7/Datos_Base!P7</f>
        <v/>
      </c>
      <c r="C5" s="7">
        <f>Datos_Base!C8/Datos_Base!P8</f>
        <v/>
      </c>
      <c r="D5" s="7">
        <f>Datos_Base!C9/Datos_Base!P9</f>
        <v/>
      </c>
      <c r="E5" s="7">
        <f>Datos_Base!C10/Datos_Base!P10</f>
        <v/>
      </c>
      <c r="F5" s="7">
        <f>Datos_Base!C11/Datos_Base!P11</f>
        <v/>
      </c>
    </row>
    <row r="6">
      <c r="A6" s="12" t="inlineStr">
        <is>
          <t>Guatemala</t>
        </is>
      </c>
      <c r="B6" s="7">
        <f>Datos_Base!C12/Datos_Base!P12</f>
        <v/>
      </c>
      <c r="C6" s="7">
        <f>Datos_Base!C13/Datos_Base!P13</f>
        <v/>
      </c>
      <c r="D6" s="7">
        <f>Datos_Base!C14/Datos_Base!P14</f>
        <v/>
      </c>
      <c r="E6" s="7">
        <f>Datos_Base!C15/Datos_Base!P15</f>
        <v/>
      </c>
      <c r="F6" s="7">
        <f>Datos_Base!C16/Datos_Base!P16</f>
        <v/>
      </c>
    </row>
    <row r="7">
      <c r="A7" s="12" t="inlineStr">
        <is>
          <t>Honduras</t>
        </is>
      </c>
      <c r="B7" s="7">
        <f>Datos_Base!C17/Datos_Base!P17</f>
        <v/>
      </c>
      <c r="C7" s="7">
        <f>Datos_Base!C18/Datos_Base!P18</f>
        <v/>
      </c>
      <c r="D7" s="7">
        <f>Datos_Base!C19/Datos_Base!P19</f>
        <v/>
      </c>
      <c r="E7" s="7">
        <f>Datos_Base!C20/Datos_Base!P20</f>
        <v/>
      </c>
      <c r="F7" s="7">
        <f>Datos_Base!C21/Datos_Base!P21</f>
        <v/>
      </c>
    </row>
    <row r="8">
      <c r="A8" s="12" t="inlineStr">
        <is>
          <t>Nicaragua</t>
        </is>
      </c>
      <c r="B8" s="7">
        <f>Datos_Base!C22/Datos_Base!P22</f>
        <v/>
      </c>
      <c r="C8" s="7">
        <f>Datos_Base!C23/Datos_Base!P23</f>
        <v/>
      </c>
      <c r="D8" s="7">
        <f>Datos_Base!C24/Datos_Base!P24</f>
        <v/>
      </c>
      <c r="E8" s="7">
        <f>Datos_Base!C25/Datos_Base!P25</f>
        <v/>
      </c>
      <c r="F8" s="7">
        <f>Datos_Base!C26/Datos_Base!P26</f>
        <v/>
      </c>
    </row>
    <row r="9">
      <c r="A9" s="12" t="inlineStr">
        <is>
          <t>Panamá</t>
        </is>
      </c>
      <c r="B9" s="7">
        <f>Datos_Base!C27/Datos_Base!P27</f>
        <v/>
      </c>
      <c r="C9" s="7">
        <f>Datos_Base!C28/Datos_Base!P28</f>
        <v/>
      </c>
      <c r="D9" s="7">
        <f>Datos_Base!C29/Datos_Base!P29</f>
        <v/>
      </c>
      <c r="E9" s="7">
        <f>Datos_Base!C30/Datos_Base!P30</f>
        <v/>
      </c>
      <c r="F9" s="7">
        <f>Datos_Base!C31/Datos_Base!P31</f>
        <v/>
      </c>
    </row>
    <row r="10">
      <c r="A10" s="13" t="inlineStr">
        <is>
          <t>Promedio de países (media simple)</t>
        </is>
      </c>
      <c r="B10" s="14">
        <f>AVERAGE(B4:B9)</f>
        <v/>
      </c>
      <c r="C10" s="14">
        <f>AVERAGE(C4:C9)</f>
        <v/>
      </c>
      <c r="D10" s="14">
        <f>AVERAGE(D4:D9)</f>
        <v/>
      </c>
      <c r="E10" s="14">
        <f>AVERAGE(E4:E9)</f>
        <v/>
      </c>
      <c r="F10" s="14">
        <f>AVERAGE(F4:F9)</f>
        <v/>
      </c>
    </row>
    <row r="11">
      <c r="A11" s="13" t="inlineStr">
        <is>
          <t>Agregado regional (razón de sumas)</t>
        </is>
      </c>
      <c r="B11" s="14">
        <f>SUM(Datos_Base!C2,Datos_Base!C7,Datos_Base!C12,Datos_Base!C17,Datos_Base!C22,Datos_Base!C27)/SUM(Datos_Base!P2,Datos_Base!P7,Datos_Base!P12,Datos_Base!P17,Datos_Base!P22,Datos_Base!P27)</f>
        <v/>
      </c>
      <c r="C11" s="14">
        <f>SUM(Datos_Base!C3,Datos_Base!C8,Datos_Base!C13,Datos_Base!C18,Datos_Base!C23,Datos_Base!C28)/SUM(Datos_Base!P3,Datos_Base!P8,Datos_Base!P13,Datos_Base!P18,Datos_Base!P23,Datos_Base!P28)</f>
        <v/>
      </c>
      <c r="D11" s="14">
        <f>SUM(Datos_Base!C4,Datos_Base!C9,Datos_Base!C14,Datos_Base!C19,Datos_Base!C24,Datos_Base!C29)/SUM(Datos_Base!P4,Datos_Base!P9,Datos_Base!P14,Datos_Base!P19,Datos_Base!P24,Datos_Base!P29)</f>
        <v/>
      </c>
      <c r="E11" s="14">
        <f>SUM(Datos_Base!C5,Datos_Base!C10,Datos_Base!C15,Datos_Base!C20,Datos_Base!C25,Datos_Base!C30)/SUM(Datos_Base!P5,Datos_Base!P10,Datos_Base!P15,Datos_Base!P20,Datos_Base!P25,Datos_Base!P30)</f>
        <v/>
      </c>
      <c r="F11" s="14">
        <f>SUM(Datos_Base!C6,Datos_Base!C11,Datos_Base!C16,Datos_Base!C21,Datos_Base!C26,Datos_Base!C31)/SUM(Datos_Base!P6,Datos_Base!P11,Datos_Base!P16,Datos_Base!P21,Datos_Base!P26,Datos_Base!P31)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ECO2 — Uso de energía por unidad de PIB (kWh/USD const. 2015)</t>
        </is>
      </c>
    </row>
    <row r="2">
      <c r="A2" s="2" t="inlineStr">
        <is>
          <t>Fórmula: Consumo Final Total (kWh) ÷ PIB Real (USD constantes 2015)</t>
        </is>
      </c>
    </row>
    <row r="3">
      <c r="A3" s="11" t="inlineStr">
        <is>
          <t>País</t>
        </is>
      </c>
      <c r="B3" s="11" t="n">
        <v>2020</v>
      </c>
      <c r="C3" s="11" t="n">
        <v>2021</v>
      </c>
      <c r="D3" s="11" t="n">
        <v>2022</v>
      </c>
      <c r="E3" s="11" t="n">
        <v>2023</v>
      </c>
      <c r="F3" s="11" t="n">
        <v>2024</v>
      </c>
    </row>
    <row r="4">
      <c r="A4" s="12" t="inlineStr">
        <is>
          <t>Costa Rica</t>
        </is>
      </c>
      <c r="B4" s="15">
        <f>Datos_Base!C2/Datos_Base!O2</f>
        <v/>
      </c>
      <c r="C4" s="15">
        <f>Datos_Base!C3/Datos_Base!O3</f>
        <v/>
      </c>
      <c r="D4" s="15">
        <f>Datos_Base!C4/Datos_Base!O4</f>
        <v/>
      </c>
      <c r="E4" s="15">
        <f>Datos_Base!C5/Datos_Base!O5</f>
        <v/>
      </c>
      <c r="F4" s="15">
        <f>Datos_Base!C6/Datos_Base!O6</f>
        <v/>
      </c>
    </row>
    <row r="5">
      <c r="A5" s="12" t="inlineStr">
        <is>
          <t>El Salvador</t>
        </is>
      </c>
      <c r="B5" s="15">
        <f>Datos_Base!C7/Datos_Base!O7</f>
        <v/>
      </c>
      <c r="C5" s="15">
        <f>Datos_Base!C8/Datos_Base!O8</f>
        <v/>
      </c>
      <c r="D5" s="15">
        <f>Datos_Base!C9/Datos_Base!O9</f>
        <v/>
      </c>
      <c r="E5" s="15">
        <f>Datos_Base!C10/Datos_Base!O10</f>
        <v/>
      </c>
      <c r="F5" s="15">
        <f>Datos_Base!C11/Datos_Base!O11</f>
        <v/>
      </c>
    </row>
    <row r="6">
      <c r="A6" s="12" t="inlineStr">
        <is>
          <t>Guatemala</t>
        </is>
      </c>
      <c r="B6" s="15">
        <f>Datos_Base!C12/Datos_Base!O12</f>
        <v/>
      </c>
      <c r="C6" s="15">
        <f>Datos_Base!C13/Datos_Base!O13</f>
        <v/>
      </c>
      <c r="D6" s="15">
        <f>Datos_Base!C14/Datos_Base!O14</f>
        <v/>
      </c>
      <c r="E6" s="15">
        <f>Datos_Base!C15/Datos_Base!O15</f>
        <v/>
      </c>
      <c r="F6" s="15">
        <f>Datos_Base!C16/Datos_Base!O16</f>
        <v/>
      </c>
    </row>
    <row r="7">
      <c r="A7" s="12" t="inlineStr">
        <is>
          <t>Honduras</t>
        </is>
      </c>
      <c r="B7" s="15">
        <f>Datos_Base!C17/Datos_Base!O17</f>
        <v/>
      </c>
      <c r="C7" s="15">
        <f>Datos_Base!C18/Datos_Base!O18</f>
        <v/>
      </c>
      <c r="D7" s="15">
        <f>Datos_Base!C19/Datos_Base!O19</f>
        <v/>
      </c>
      <c r="E7" s="15">
        <f>Datos_Base!C20/Datos_Base!O20</f>
        <v/>
      </c>
      <c r="F7" s="15">
        <f>Datos_Base!C21/Datos_Base!O21</f>
        <v/>
      </c>
    </row>
    <row r="8">
      <c r="A8" s="12" t="inlineStr">
        <is>
          <t>Nicaragua</t>
        </is>
      </c>
      <c r="B8" s="15">
        <f>Datos_Base!C22/Datos_Base!O22</f>
        <v/>
      </c>
      <c r="C8" s="15">
        <f>Datos_Base!C23/Datos_Base!O23</f>
        <v/>
      </c>
      <c r="D8" s="15">
        <f>Datos_Base!C24/Datos_Base!O24</f>
        <v/>
      </c>
      <c r="E8" s="15">
        <f>Datos_Base!C25/Datos_Base!O25</f>
        <v/>
      </c>
      <c r="F8" s="15">
        <f>Datos_Base!C26/Datos_Base!O26</f>
        <v/>
      </c>
    </row>
    <row r="9">
      <c r="A9" s="12" t="inlineStr">
        <is>
          <t>Panamá</t>
        </is>
      </c>
      <c r="B9" s="15">
        <f>Datos_Base!C27/Datos_Base!O27</f>
        <v/>
      </c>
      <c r="C9" s="15">
        <f>Datos_Base!C28/Datos_Base!O28</f>
        <v/>
      </c>
      <c r="D9" s="15">
        <f>Datos_Base!C29/Datos_Base!O29</f>
        <v/>
      </c>
      <c r="E9" s="15">
        <f>Datos_Base!C30/Datos_Base!O30</f>
        <v/>
      </c>
      <c r="F9" s="15">
        <f>Datos_Base!C31/Datos_Base!O31</f>
        <v/>
      </c>
    </row>
    <row r="10">
      <c r="A10" s="13" t="inlineStr">
        <is>
          <t>Promedio de países (media simple)</t>
        </is>
      </c>
      <c r="B10" s="16">
        <f>AVERAGE(B4:B9)</f>
        <v/>
      </c>
      <c r="C10" s="16">
        <f>AVERAGE(C4:C9)</f>
        <v/>
      </c>
      <c r="D10" s="16">
        <f>AVERAGE(D4:D9)</f>
        <v/>
      </c>
      <c r="E10" s="16">
        <f>AVERAGE(E4:E9)</f>
        <v/>
      </c>
      <c r="F10" s="16">
        <f>AVERAGE(F4:F9)</f>
        <v/>
      </c>
    </row>
    <row r="11">
      <c r="A11" s="13" t="inlineStr">
        <is>
          <t>Agregado regional (razón de sumas)</t>
        </is>
      </c>
      <c r="B11" s="16">
        <f>SUM(Datos_Base!C2,Datos_Base!C7,Datos_Base!C12,Datos_Base!C17,Datos_Base!C22,Datos_Base!C27)/SUM(Datos_Base!O2,Datos_Base!O7,Datos_Base!O12,Datos_Base!O17,Datos_Base!O22,Datos_Base!O27)</f>
        <v/>
      </c>
      <c r="C11" s="16">
        <f>SUM(Datos_Base!C3,Datos_Base!C8,Datos_Base!C13,Datos_Base!C18,Datos_Base!C23,Datos_Base!C28)/SUM(Datos_Base!O3,Datos_Base!O8,Datos_Base!O13,Datos_Base!O18,Datos_Base!O23,Datos_Base!O28)</f>
        <v/>
      </c>
      <c r="D11" s="16">
        <f>SUM(Datos_Base!C4,Datos_Base!C9,Datos_Base!C14,Datos_Base!C19,Datos_Base!C24,Datos_Base!C29)/SUM(Datos_Base!O4,Datos_Base!O9,Datos_Base!O14,Datos_Base!O19,Datos_Base!O24,Datos_Base!O29)</f>
        <v/>
      </c>
      <c r="E11" s="16">
        <f>SUM(Datos_Base!C5,Datos_Base!C10,Datos_Base!C15,Datos_Base!C20,Datos_Base!C25,Datos_Base!C30)/SUM(Datos_Base!O5,Datos_Base!O10,Datos_Base!O15,Datos_Base!O20,Datos_Base!O25,Datos_Base!O30)</f>
        <v/>
      </c>
      <c r="F11" s="16">
        <f>SUM(Datos_Base!C6,Datos_Base!C11,Datos_Base!C16,Datos_Base!C21,Datos_Base!C26,Datos_Base!C31)/SUM(Datos_Base!O6,Datos_Base!O11,Datos_Base!O16,Datos_Base!O21,Datos_Base!O26,Datos_Base!O31)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ECO3 — Eficiencia de la conversión y distribución de energía (%)</t>
        </is>
      </c>
    </row>
    <row r="2">
      <c r="A2" s="2" t="inlineStr">
        <is>
          <t>Fórmula: (Consumo Final Total ÷ Producción Bruta Total) × 100</t>
        </is>
      </c>
    </row>
    <row r="3">
      <c r="A3" s="11" t="inlineStr">
        <is>
          <t>País</t>
        </is>
      </c>
      <c r="B3" s="11" t="n">
        <v>2020</v>
      </c>
      <c r="C3" s="11" t="n">
        <v>2021</v>
      </c>
      <c r="D3" s="11" t="n">
        <v>2022</v>
      </c>
      <c r="E3" s="11" t="n">
        <v>2023</v>
      </c>
      <c r="F3" s="11" t="n">
        <v>2024</v>
      </c>
    </row>
    <row r="4">
      <c r="A4" s="12" t="inlineStr">
        <is>
          <t>Costa Rica</t>
        </is>
      </c>
      <c r="B4" s="17">
        <f>Datos_Base!C2/Datos_Base!Q2*100</f>
        <v/>
      </c>
      <c r="C4" s="17">
        <f>Datos_Base!C3/Datos_Base!Q3*100</f>
        <v/>
      </c>
      <c r="D4" s="17">
        <f>Datos_Base!C4/Datos_Base!Q4*100</f>
        <v/>
      </c>
      <c r="E4" s="17">
        <f>Datos_Base!C5/Datos_Base!Q5*100</f>
        <v/>
      </c>
      <c r="F4" s="17">
        <f>Datos_Base!C6/Datos_Base!Q6*100</f>
        <v/>
      </c>
    </row>
    <row r="5">
      <c r="A5" s="12" t="inlineStr">
        <is>
          <t>El Salvador</t>
        </is>
      </c>
      <c r="B5" s="17">
        <f>Datos_Base!C7/Datos_Base!Q7*100</f>
        <v/>
      </c>
      <c r="C5" s="17">
        <f>Datos_Base!C8/Datos_Base!Q8*100</f>
        <v/>
      </c>
      <c r="D5" s="17">
        <f>Datos_Base!C9/Datos_Base!Q9*100</f>
        <v/>
      </c>
      <c r="E5" s="17">
        <f>Datos_Base!C10/Datos_Base!Q10*100</f>
        <v/>
      </c>
      <c r="F5" s="17">
        <f>Datos_Base!C11/Datos_Base!Q11*100</f>
        <v/>
      </c>
    </row>
    <row r="6">
      <c r="A6" s="12" t="inlineStr">
        <is>
          <t>Guatemala</t>
        </is>
      </c>
      <c r="B6" s="17">
        <f>Datos_Base!C12/Datos_Base!Q12*100</f>
        <v/>
      </c>
      <c r="C6" s="17">
        <f>Datos_Base!C13/Datos_Base!Q13*100</f>
        <v/>
      </c>
      <c r="D6" s="17">
        <f>Datos_Base!C14/Datos_Base!Q14*100</f>
        <v/>
      </c>
      <c r="E6" s="17">
        <f>Datos_Base!C15/Datos_Base!Q15*100</f>
        <v/>
      </c>
      <c r="F6" s="17">
        <f>Datos_Base!C16/Datos_Base!Q16*100</f>
        <v/>
      </c>
    </row>
    <row r="7">
      <c r="A7" s="12" t="inlineStr">
        <is>
          <t>Honduras</t>
        </is>
      </c>
      <c r="B7" s="17">
        <f>Datos_Base!C17/Datos_Base!Q17*100</f>
        <v/>
      </c>
      <c r="C7" s="17">
        <f>Datos_Base!C18/Datos_Base!Q18*100</f>
        <v/>
      </c>
      <c r="D7" s="17">
        <f>Datos_Base!C19/Datos_Base!Q19*100</f>
        <v/>
      </c>
      <c r="E7" s="17">
        <f>Datos_Base!C20/Datos_Base!Q20*100</f>
        <v/>
      </c>
      <c r="F7" s="17">
        <f>Datos_Base!C21/Datos_Base!Q21*100</f>
        <v/>
      </c>
    </row>
    <row r="8">
      <c r="A8" s="12" t="inlineStr">
        <is>
          <t>Nicaragua</t>
        </is>
      </c>
      <c r="B8" s="17">
        <f>Datos_Base!C22/Datos_Base!Q22*100</f>
        <v/>
      </c>
      <c r="C8" s="17">
        <f>Datos_Base!C23/Datos_Base!Q23*100</f>
        <v/>
      </c>
      <c r="D8" s="17">
        <f>Datos_Base!C24/Datos_Base!Q24*100</f>
        <v/>
      </c>
      <c r="E8" s="17">
        <f>Datos_Base!C25/Datos_Base!Q25*100</f>
        <v/>
      </c>
      <c r="F8" s="17">
        <f>Datos_Base!C26/Datos_Base!Q26*100</f>
        <v/>
      </c>
    </row>
    <row r="9">
      <c r="A9" s="12" t="inlineStr">
        <is>
          <t>Panamá</t>
        </is>
      </c>
      <c r="B9" s="17">
        <f>Datos_Base!C27/Datos_Base!Q27*100</f>
        <v/>
      </c>
      <c r="C9" s="17">
        <f>Datos_Base!C28/Datos_Base!Q28*100</f>
        <v/>
      </c>
      <c r="D9" s="17">
        <f>Datos_Base!C29/Datos_Base!Q29*100</f>
        <v/>
      </c>
      <c r="E9" s="17">
        <f>Datos_Base!C30/Datos_Base!Q30*100</f>
        <v/>
      </c>
      <c r="F9" s="17">
        <f>Datos_Base!C31/Datos_Base!Q31*100</f>
        <v/>
      </c>
    </row>
    <row r="10">
      <c r="A10" s="13" t="inlineStr">
        <is>
          <t>Promedio de países (media simple)</t>
        </is>
      </c>
      <c r="B10" s="18">
        <f>AVERAGE(B4:B9)</f>
        <v/>
      </c>
      <c r="C10" s="18">
        <f>AVERAGE(C4:C9)</f>
        <v/>
      </c>
      <c r="D10" s="18">
        <f>AVERAGE(D4:D9)</f>
        <v/>
      </c>
      <c r="E10" s="18">
        <f>AVERAGE(E4:E9)</f>
        <v/>
      </c>
      <c r="F10" s="18">
        <f>AVERAGE(F4:F9)</f>
        <v/>
      </c>
    </row>
    <row r="11">
      <c r="A11" s="13" t="inlineStr">
        <is>
          <t>Agregado regional (razón de sumas)</t>
        </is>
      </c>
      <c r="B11" s="18">
        <f>SUM(Datos_Base!C2,Datos_Base!C7,Datos_Base!C12,Datos_Base!C17,Datos_Base!C22,Datos_Base!C27)/SUM(Datos_Base!Q2,Datos_Base!Q7,Datos_Base!Q12,Datos_Base!Q17,Datos_Base!Q22,Datos_Base!Q27)*100</f>
        <v/>
      </c>
      <c r="C11" s="18">
        <f>SUM(Datos_Base!C3,Datos_Base!C8,Datos_Base!C13,Datos_Base!C18,Datos_Base!C23,Datos_Base!C28)/SUM(Datos_Base!Q3,Datos_Base!Q8,Datos_Base!Q13,Datos_Base!Q18,Datos_Base!Q23,Datos_Base!Q28)*100</f>
        <v/>
      </c>
      <c r="D11" s="18">
        <f>SUM(Datos_Base!C4,Datos_Base!C9,Datos_Base!C14,Datos_Base!C19,Datos_Base!C24,Datos_Base!C29)/SUM(Datos_Base!Q4,Datos_Base!Q9,Datos_Base!Q14,Datos_Base!Q19,Datos_Base!Q24,Datos_Base!Q29)*100</f>
        <v/>
      </c>
      <c r="E11" s="18">
        <f>SUM(Datos_Base!C5,Datos_Base!C10,Datos_Base!C15,Datos_Base!C20,Datos_Base!C25,Datos_Base!C30)/SUM(Datos_Base!Q5,Datos_Base!Q10,Datos_Base!Q15,Datos_Base!Q20,Datos_Base!Q25,Datos_Base!Q30)*100</f>
        <v/>
      </c>
      <c r="F11" s="18">
        <f>SUM(Datos_Base!C6,Datos_Base!C11,Datos_Base!C16,Datos_Base!C21,Datos_Base!C26,Datos_Base!C31)/SUM(Datos_Base!Q6,Datos_Base!Q11,Datos_Base!Q16,Datos_Base!Q21,Datos_Base!Q26,Datos_Base!Q31)*100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ECO6 — Intensidades energéticas de la industria (kWh/USD const. 2015)</t>
        </is>
      </c>
    </row>
    <row r="2">
      <c r="A2" s="2" t="inlineStr">
        <is>
          <t>Fórmula: Consumo Final Industrial (kWh) ÷ Valor Agregado Manufacturero (USD constantes 2015)</t>
        </is>
      </c>
    </row>
    <row r="3">
      <c r="A3" s="11" t="inlineStr">
        <is>
          <t>País</t>
        </is>
      </c>
      <c r="B3" s="11" t="n">
        <v>2020</v>
      </c>
      <c r="C3" s="11" t="n">
        <v>2021</v>
      </c>
      <c r="D3" s="11" t="n">
        <v>2022</v>
      </c>
      <c r="E3" s="11" t="n">
        <v>2023</v>
      </c>
      <c r="F3" s="11" t="n">
        <v>2024</v>
      </c>
    </row>
    <row r="4">
      <c r="A4" s="12" t="inlineStr">
        <is>
          <t>Costa Rica</t>
        </is>
      </c>
      <c r="B4" s="15">
        <f>Datos_Base!D2/Datos_Base!T2</f>
        <v/>
      </c>
      <c r="C4" s="15">
        <f>Datos_Base!D3/Datos_Base!T3</f>
        <v/>
      </c>
      <c r="D4" s="15">
        <f>Datos_Base!D4/Datos_Base!T4</f>
        <v/>
      </c>
      <c r="E4" s="15">
        <f>Datos_Base!D5/Datos_Base!T5</f>
        <v/>
      </c>
      <c r="F4" s="15">
        <f>Datos_Base!D6/Datos_Base!T6</f>
        <v/>
      </c>
    </row>
    <row r="5">
      <c r="A5" s="12" t="inlineStr">
        <is>
          <t>El Salvador</t>
        </is>
      </c>
      <c r="B5" s="15">
        <f>Datos_Base!D7/Datos_Base!T7</f>
        <v/>
      </c>
      <c r="C5" s="15">
        <f>Datos_Base!D8/Datos_Base!T8</f>
        <v/>
      </c>
      <c r="D5" s="15">
        <f>Datos_Base!D9/Datos_Base!T9</f>
        <v/>
      </c>
      <c r="E5" s="15">
        <f>Datos_Base!D10/Datos_Base!T10</f>
        <v/>
      </c>
      <c r="F5" s="15">
        <f>Datos_Base!D11/Datos_Base!T11</f>
        <v/>
      </c>
    </row>
    <row r="6">
      <c r="A6" s="12" t="inlineStr">
        <is>
          <t>Guatemala</t>
        </is>
      </c>
      <c r="B6" s="15">
        <f>Datos_Base!D12/Datos_Base!T12</f>
        <v/>
      </c>
      <c r="C6" s="15">
        <f>Datos_Base!D13/Datos_Base!T13</f>
        <v/>
      </c>
      <c r="D6" s="15">
        <f>Datos_Base!D14/Datos_Base!T14</f>
        <v/>
      </c>
      <c r="E6" s="15">
        <f>Datos_Base!D15/Datos_Base!T15</f>
        <v/>
      </c>
      <c r="F6" s="15">
        <f>Datos_Base!D16/Datos_Base!T16</f>
        <v/>
      </c>
    </row>
    <row r="7">
      <c r="A7" s="12" t="inlineStr">
        <is>
          <t>Honduras</t>
        </is>
      </c>
      <c r="B7" s="15">
        <f>Datos_Base!D17/Datos_Base!T17</f>
        <v/>
      </c>
      <c r="C7" s="15">
        <f>Datos_Base!D18/Datos_Base!T18</f>
        <v/>
      </c>
      <c r="D7" s="15">
        <f>Datos_Base!D19/Datos_Base!T19</f>
        <v/>
      </c>
      <c r="E7" s="15">
        <f>Datos_Base!D20/Datos_Base!T20</f>
        <v/>
      </c>
      <c r="F7" s="15">
        <f>Datos_Base!D21/Datos_Base!T21</f>
        <v/>
      </c>
    </row>
    <row r="8">
      <c r="A8" s="12" t="inlineStr">
        <is>
          <t>Nicaragua</t>
        </is>
      </c>
      <c r="B8" s="15">
        <f>Datos_Base!D22/Datos_Base!T22</f>
        <v/>
      </c>
      <c r="C8" s="15">
        <f>Datos_Base!D23/Datos_Base!T23</f>
        <v/>
      </c>
      <c r="D8" s="15">
        <f>Datos_Base!D24/Datos_Base!T24</f>
        <v/>
      </c>
      <c r="E8" s="15">
        <f>Datos_Base!D25/Datos_Base!T25</f>
        <v/>
      </c>
      <c r="F8" s="15">
        <f>Datos_Base!D26/Datos_Base!T26</f>
        <v/>
      </c>
    </row>
    <row r="9">
      <c r="A9" s="12" t="inlineStr">
        <is>
          <t>Panamá</t>
        </is>
      </c>
      <c r="B9" s="15">
        <f>Datos_Base!D27/Datos_Base!T27</f>
        <v/>
      </c>
      <c r="C9" s="15">
        <f>Datos_Base!D28/Datos_Base!T28</f>
        <v/>
      </c>
      <c r="D9" s="15">
        <f>Datos_Base!D29/Datos_Base!T29</f>
        <v/>
      </c>
      <c r="E9" s="15">
        <f>Datos_Base!D30/Datos_Base!T30</f>
        <v/>
      </c>
      <c r="F9" s="15">
        <f>Datos_Base!D31/Datos_Base!T31</f>
        <v/>
      </c>
    </row>
    <row r="10">
      <c r="A10" s="13" t="inlineStr">
        <is>
          <t>Promedio de países (media simple)</t>
        </is>
      </c>
      <c r="B10" s="16">
        <f>AVERAGE(B4:B9)</f>
        <v/>
      </c>
      <c r="C10" s="16">
        <f>AVERAGE(C4:C9)</f>
        <v/>
      </c>
      <c r="D10" s="16">
        <f>AVERAGE(D4:D9)</f>
        <v/>
      </c>
      <c r="E10" s="16">
        <f>AVERAGE(E4:E9)</f>
        <v/>
      </c>
      <c r="F10" s="16">
        <f>AVERAGE(F4:F9)</f>
        <v/>
      </c>
    </row>
    <row r="11">
      <c r="A11" s="13" t="inlineStr">
        <is>
          <t>Agregado regional (razón de sumas)</t>
        </is>
      </c>
      <c r="B11" s="16">
        <f>SUM(Datos_Base!D2,Datos_Base!D7,Datos_Base!D12,Datos_Base!D17,Datos_Base!D22,Datos_Base!D27)/SUM(Datos_Base!T2,Datos_Base!T7,Datos_Base!T12,Datos_Base!T17,Datos_Base!T22,Datos_Base!T27)</f>
        <v/>
      </c>
      <c r="C11" s="16">
        <f>SUM(Datos_Base!D3,Datos_Base!D8,Datos_Base!D13,Datos_Base!D18,Datos_Base!D23,Datos_Base!D28)/SUM(Datos_Base!T3,Datos_Base!T8,Datos_Base!T13,Datos_Base!T18,Datos_Base!T23,Datos_Base!T28)</f>
        <v/>
      </c>
      <c r="D11" s="16">
        <f>SUM(Datos_Base!D4,Datos_Base!D9,Datos_Base!D14,Datos_Base!D19,Datos_Base!D24,Datos_Base!D29)/SUM(Datos_Base!T4,Datos_Base!T9,Datos_Base!T14,Datos_Base!T19,Datos_Base!T24,Datos_Base!T29)</f>
        <v/>
      </c>
      <c r="E11" s="16">
        <f>SUM(Datos_Base!D5,Datos_Base!D10,Datos_Base!D15,Datos_Base!D20,Datos_Base!D25,Datos_Base!D30)/SUM(Datos_Base!T5,Datos_Base!T10,Datos_Base!T15,Datos_Base!T20,Datos_Base!T25,Datos_Base!T30)</f>
        <v/>
      </c>
      <c r="F11" s="16">
        <f>SUM(Datos_Base!D6,Datos_Base!D11,Datos_Base!D16,Datos_Base!D21,Datos_Base!D26,Datos_Base!D31)/SUM(Datos_Base!T6,Datos_Base!T11,Datos_Base!T16,Datos_Base!T21,Datos_Base!T26,Datos_Base!T31)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ECO11 — Porcentaje de combustibles fósiles en la electricidad (%)</t>
        </is>
      </c>
    </row>
    <row r="2">
      <c r="A2" s="2" t="inlineStr">
        <is>
          <t>Fórmula: (Generación Térmica Fósil ÷ Generación Total) × 100</t>
        </is>
      </c>
    </row>
    <row r="3">
      <c r="A3" s="11" t="inlineStr">
        <is>
          <t>País</t>
        </is>
      </c>
      <c r="B3" s="11" t="n">
        <v>2020</v>
      </c>
      <c r="C3" s="11" t="n">
        <v>2021</v>
      </c>
      <c r="D3" s="11" t="n">
        <v>2022</v>
      </c>
      <c r="E3" s="11" t="n">
        <v>2023</v>
      </c>
      <c r="F3" s="11" t="n">
        <v>2024</v>
      </c>
    </row>
    <row r="4">
      <c r="A4" s="12" t="inlineStr">
        <is>
          <t>Costa Rica</t>
        </is>
      </c>
      <c r="B4" s="17">
        <f>Datos_Base!H2/Datos_Base!M2*100</f>
        <v/>
      </c>
      <c r="C4" s="17">
        <f>Datos_Base!H3/Datos_Base!M3*100</f>
        <v/>
      </c>
      <c r="D4" s="17">
        <f>Datos_Base!H4/Datos_Base!M4*100</f>
        <v/>
      </c>
      <c r="E4" s="17">
        <f>Datos_Base!H5/Datos_Base!M5*100</f>
        <v/>
      </c>
      <c r="F4" s="17">
        <f>Datos_Base!H6/Datos_Base!M6*100</f>
        <v/>
      </c>
    </row>
    <row r="5">
      <c r="A5" s="12" t="inlineStr">
        <is>
          <t>El Salvador</t>
        </is>
      </c>
      <c r="B5" s="17">
        <f>Datos_Base!H7/Datos_Base!M7*100</f>
        <v/>
      </c>
      <c r="C5" s="17">
        <f>Datos_Base!H8/Datos_Base!M8*100</f>
        <v/>
      </c>
      <c r="D5" s="17">
        <f>Datos_Base!H9/Datos_Base!M9*100</f>
        <v/>
      </c>
      <c r="E5" s="17">
        <f>Datos_Base!H10/Datos_Base!M10*100</f>
        <v/>
      </c>
      <c r="F5" s="17">
        <f>Datos_Base!H11/Datos_Base!M11*100</f>
        <v/>
      </c>
    </row>
    <row r="6">
      <c r="A6" s="12" t="inlineStr">
        <is>
          <t>Guatemala</t>
        </is>
      </c>
      <c r="B6" s="17">
        <f>Datos_Base!H12/Datos_Base!M12*100</f>
        <v/>
      </c>
      <c r="C6" s="17">
        <f>Datos_Base!H13/Datos_Base!M13*100</f>
        <v/>
      </c>
      <c r="D6" s="17">
        <f>Datos_Base!H14/Datos_Base!M14*100</f>
        <v/>
      </c>
      <c r="E6" s="17">
        <f>Datos_Base!H15/Datos_Base!M15*100</f>
        <v/>
      </c>
      <c r="F6" s="17">
        <f>Datos_Base!H16/Datos_Base!M16*100</f>
        <v/>
      </c>
    </row>
    <row r="7">
      <c r="A7" s="12" t="inlineStr">
        <is>
          <t>Honduras</t>
        </is>
      </c>
      <c r="B7" s="17">
        <f>Datos_Base!H17/Datos_Base!M17*100</f>
        <v/>
      </c>
      <c r="C7" s="17">
        <f>Datos_Base!H18/Datos_Base!M18*100</f>
        <v/>
      </c>
      <c r="D7" s="17">
        <f>Datos_Base!H19/Datos_Base!M19*100</f>
        <v/>
      </c>
      <c r="E7" s="17">
        <f>Datos_Base!H20/Datos_Base!M20*100</f>
        <v/>
      </c>
      <c r="F7" s="17">
        <f>Datos_Base!H21/Datos_Base!M21*100</f>
        <v/>
      </c>
    </row>
    <row r="8">
      <c r="A8" s="12" t="inlineStr">
        <is>
          <t>Nicaragua</t>
        </is>
      </c>
      <c r="B8" s="17">
        <f>Datos_Base!H22/Datos_Base!M22*100</f>
        <v/>
      </c>
      <c r="C8" s="17">
        <f>Datos_Base!H23/Datos_Base!M23*100</f>
        <v/>
      </c>
      <c r="D8" s="17">
        <f>Datos_Base!H24/Datos_Base!M24*100</f>
        <v/>
      </c>
      <c r="E8" s="17">
        <f>Datos_Base!H25/Datos_Base!M25*100</f>
        <v/>
      </c>
      <c r="F8" s="17">
        <f>Datos_Base!H26/Datos_Base!M26*100</f>
        <v/>
      </c>
    </row>
    <row r="9">
      <c r="A9" s="12" t="inlineStr">
        <is>
          <t>Panamá</t>
        </is>
      </c>
      <c r="B9" s="17">
        <f>Datos_Base!H27/Datos_Base!M27*100</f>
        <v/>
      </c>
      <c r="C9" s="17">
        <f>Datos_Base!H28/Datos_Base!M28*100</f>
        <v/>
      </c>
      <c r="D9" s="17">
        <f>Datos_Base!H29/Datos_Base!M29*100</f>
        <v/>
      </c>
      <c r="E9" s="17">
        <f>Datos_Base!H30/Datos_Base!M30*100</f>
        <v/>
      </c>
      <c r="F9" s="17">
        <f>Datos_Base!H31/Datos_Base!M31*100</f>
        <v/>
      </c>
    </row>
    <row r="10">
      <c r="A10" s="13" t="inlineStr">
        <is>
          <t>Promedio de países (media simple)</t>
        </is>
      </c>
      <c r="B10" s="18">
        <f>AVERAGE(B4:B9)</f>
        <v/>
      </c>
      <c r="C10" s="18">
        <f>AVERAGE(C4:C9)</f>
        <v/>
      </c>
      <c r="D10" s="18">
        <f>AVERAGE(D4:D9)</f>
        <v/>
      </c>
      <c r="E10" s="18">
        <f>AVERAGE(E4:E9)</f>
        <v/>
      </c>
      <c r="F10" s="18">
        <f>AVERAGE(F4:F9)</f>
        <v/>
      </c>
    </row>
    <row r="11">
      <c r="A11" s="13" t="inlineStr">
        <is>
          <t>Agregado regional (razón de sumas)</t>
        </is>
      </c>
      <c r="B11" s="18">
        <f>SUM(Datos_Base!H2,Datos_Base!H7,Datos_Base!H12,Datos_Base!H17,Datos_Base!H22,Datos_Base!H27)/SUM(Datos_Base!M2,Datos_Base!M7,Datos_Base!M12,Datos_Base!M17,Datos_Base!M22,Datos_Base!M27)*100</f>
        <v/>
      </c>
      <c r="C11" s="18">
        <f>SUM(Datos_Base!H3,Datos_Base!H8,Datos_Base!H13,Datos_Base!H18,Datos_Base!H23,Datos_Base!H28)/SUM(Datos_Base!M3,Datos_Base!M8,Datos_Base!M13,Datos_Base!M18,Datos_Base!M23,Datos_Base!M28)*100</f>
        <v/>
      </c>
      <c r="D11" s="18">
        <f>SUM(Datos_Base!H4,Datos_Base!H9,Datos_Base!H14,Datos_Base!H19,Datos_Base!H24,Datos_Base!H29)/SUM(Datos_Base!M4,Datos_Base!M9,Datos_Base!M14,Datos_Base!M19,Datos_Base!M24,Datos_Base!M29)*100</f>
        <v/>
      </c>
      <c r="E11" s="18">
        <f>SUM(Datos_Base!H5,Datos_Base!H10,Datos_Base!H15,Datos_Base!H20,Datos_Base!H25,Datos_Base!H30)/SUM(Datos_Base!M5,Datos_Base!M10,Datos_Base!M15,Datos_Base!M20,Datos_Base!M25,Datos_Base!M30)*100</f>
        <v/>
      </c>
      <c r="F11" s="18">
        <f>SUM(Datos_Base!H6,Datos_Base!H11,Datos_Base!H16,Datos_Base!H21,Datos_Base!H26,Datos_Base!H31)/SUM(Datos_Base!M6,Datos_Base!M11,Datos_Base!M16,Datos_Base!M21,Datos_Base!M26,Datos_Base!M31)*100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ECO13 — Porcentaje de energías renovables en la electricidad (%)</t>
        </is>
      </c>
    </row>
    <row r="2">
      <c r="A2" s="2" t="inlineStr">
        <is>
          <t>Fórmula: (Hidro + Geotermia + Eólica + Solar + Biomasa) ÷ Generación Total × 100</t>
        </is>
      </c>
    </row>
    <row r="3">
      <c r="A3" s="11" t="inlineStr">
        <is>
          <t>País</t>
        </is>
      </c>
      <c r="B3" s="11" t="n">
        <v>2020</v>
      </c>
      <c r="C3" s="11" t="n">
        <v>2021</v>
      </c>
      <c r="D3" s="11" t="n">
        <v>2022</v>
      </c>
      <c r="E3" s="11" t="n">
        <v>2023</v>
      </c>
      <c r="F3" s="11" t="n">
        <v>2024</v>
      </c>
    </row>
    <row r="4">
      <c r="A4" s="12" t="inlineStr">
        <is>
          <t>Costa Rica</t>
        </is>
      </c>
      <c r="B4" s="17">
        <f>(Datos_Base!J2+Datos_Base!I2+Datos_Base!G2+Datos_Base!L2+Datos_Base!F2)/Datos_Base!M2*100</f>
        <v/>
      </c>
      <c r="C4" s="17">
        <f>(Datos_Base!J3+Datos_Base!I3+Datos_Base!G3+Datos_Base!L3+Datos_Base!F3)/Datos_Base!M3*100</f>
        <v/>
      </c>
      <c r="D4" s="17">
        <f>(Datos_Base!J4+Datos_Base!I4+Datos_Base!G4+Datos_Base!L4+Datos_Base!F4)/Datos_Base!M4*100</f>
        <v/>
      </c>
      <c r="E4" s="17">
        <f>(Datos_Base!J5+Datos_Base!I5+Datos_Base!G5+Datos_Base!L5+Datos_Base!F5)/Datos_Base!M5*100</f>
        <v/>
      </c>
      <c r="F4" s="17">
        <f>(Datos_Base!J6+Datos_Base!I6+Datos_Base!G6+Datos_Base!L6+Datos_Base!F6)/Datos_Base!M6*100</f>
        <v/>
      </c>
    </row>
    <row r="5">
      <c r="A5" s="12" t="inlineStr">
        <is>
          <t>El Salvador</t>
        </is>
      </c>
      <c r="B5" s="17">
        <f>(Datos_Base!J7+Datos_Base!I7+Datos_Base!G7+Datos_Base!L7+Datos_Base!F7)/Datos_Base!M7*100</f>
        <v/>
      </c>
      <c r="C5" s="17">
        <f>(Datos_Base!J8+Datos_Base!I8+Datos_Base!G8+Datos_Base!L8+Datos_Base!F8)/Datos_Base!M8*100</f>
        <v/>
      </c>
      <c r="D5" s="17">
        <f>(Datos_Base!J9+Datos_Base!I9+Datos_Base!G9+Datos_Base!L9+Datos_Base!F9)/Datos_Base!M9*100</f>
        <v/>
      </c>
      <c r="E5" s="17">
        <f>(Datos_Base!J10+Datos_Base!I10+Datos_Base!G10+Datos_Base!L10+Datos_Base!F10)/Datos_Base!M10*100</f>
        <v/>
      </c>
      <c r="F5" s="17">
        <f>(Datos_Base!J11+Datos_Base!I11+Datos_Base!G11+Datos_Base!L11+Datos_Base!F11)/Datos_Base!M11*100</f>
        <v/>
      </c>
    </row>
    <row r="6">
      <c r="A6" s="12" t="inlineStr">
        <is>
          <t>Guatemala</t>
        </is>
      </c>
      <c r="B6" s="17">
        <f>(Datos_Base!J12+Datos_Base!I12+Datos_Base!G12+Datos_Base!L12+Datos_Base!F12)/Datos_Base!M12*100</f>
        <v/>
      </c>
      <c r="C6" s="17">
        <f>(Datos_Base!J13+Datos_Base!I13+Datos_Base!G13+Datos_Base!L13+Datos_Base!F13)/Datos_Base!M13*100</f>
        <v/>
      </c>
      <c r="D6" s="17">
        <f>(Datos_Base!J14+Datos_Base!I14+Datos_Base!G14+Datos_Base!L14+Datos_Base!F14)/Datos_Base!M14*100</f>
        <v/>
      </c>
      <c r="E6" s="17">
        <f>(Datos_Base!J15+Datos_Base!I15+Datos_Base!G15+Datos_Base!L15+Datos_Base!F15)/Datos_Base!M15*100</f>
        <v/>
      </c>
      <c r="F6" s="17">
        <f>(Datos_Base!J16+Datos_Base!I16+Datos_Base!G16+Datos_Base!L16+Datos_Base!F16)/Datos_Base!M16*100</f>
        <v/>
      </c>
    </row>
    <row r="7">
      <c r="A7" s="12" t="inlineStr">
        <is>
          <t>Honduras</t>
        </is>
      </c>
      <c r="B7" s="17">
        <f>(Datos_Base!J17+Datos_Base!I17+Datos_Base!G17+Datos_Base!L17+Datos_Base!F17)/Datos_Base!M17*100</f>
        <v/>
      </c>
      <c r="C7" s="17">
        <f>(Datos_Base!J18+Datos_Base!I18+Datos_Base!G18+Datos_Base!L18+Datos_Base!F18)/Datos_Base!M18*100</f>
        <v/>
      </c>
      <c r="D7" s="17">
        <f>(Datos_Base!J19+Datos_Base!I19+Datos_Base!G19+Datos_Base!L19+Datos_Base!F19)/Datos_Base!M19*100</f>
        <v/>
      </c>
      <c r="E7" s="17">
        <f>(Datos_Base!J20+Datos_Base!I20+Datos_Base!G20+Datos_Base!L20+Datos_Base!F20)/Datos_Base!M20*100</f>
        <v/>
      </c>
      <c r="F7" s="17">
        <f>(Datos_Base!J21+Datos_Base!I21+Datos_Base!G21+Datos_Base!L21+Datos_Base!F21)/Datos_Base!M21*100</f>
        <v/>
      </c>
    </row>
    <row r="8">
      <c r="A8" s="12" t="inlineStr">
        <is>
          <t>Nicaragua</t>
        </is>
      </c>
      <c r="B8" s="17">
        <f>(Datos_Base!J22+Datos_Base!I22+Datos_Base!G22+Datos_Base!L22+Datos_Base!F22)/Datos_Base!M22*100</f>
        <v/>
      </c>
      <c r="C8" s="17">
        <f>(Datos_Base!J23+Datos_Base!I23+Datos_Base!G23+Datos_Base!L23+Datos_Base!F23)/Datos_Base!M23*100</f>
        <v/>
      </c>
      <c r="D8" s="17">
        <f>(Datos_Base!J24+Datos_Base!I24+Datos_Base!G24+Datos_Base!L24+Datos_Base!F24)/Datos_Base!M24*100</f>
        <v/>
      </c>
      <c r="E8" s="17">
        <f>(Datos_Base!J25+Datos_Base!I25+Datos_Base!G25+Datos_Base!L25+Datos_Base!F25)/Datos_Base!M25*100</f>
        <v/>
      </c>
      <c r="F8" s="17">
        <f>(Datos_Base!J26+Datos_Base!I26+Datos_Base!G26+Datos_Base!L26+Datos_Base!F26)/Datos_Base!M26*100</f>
        <v/>
      </c>
    </row>
    <row r="9">
      <c r="A9" s="12" t="inlineStr">
        <is>
          <t>Panamá</t>
        </is>
      </c>
      <c r="B9" s="17">
        <f>(Datos_Base!J27+Datos_Base!I27+Datos_Base!G27+Datos_Base!L27+Datos_Base!F27)/Datos_Base!M27*100</f>
        <v/>
      </c>
      <c r="C9" s="17">
        <f>(Datos_Base!J28+Datos_Base!I28+Datos_Base!G28+Datos_Base!L28+Datos_Base!F28)/Datos_Base!M28*100</f>
        <v/>
      </c>
      <c r="D9" s="17">
        <f>(Datos_Base!J29+Datos_Base!I29+Datos_Base!G29+Datos_Base!L29+Datos_Base!F29)/Datos_Base!M29*100</f>
        <v/>
      </c>
      <c r="E9" s="17">
        <f>(Datos_Base!J30+Datos_Base!I30+Datos_Base!G30+Datos_Base!L30+Datos_Base!F30)/Datos_Base!M30*100</f>
        <v/>
      </c>
      <c r="F9" s="17">
        <f>(Datos_Base!J31+Datos_Base!I31+Datos_Base!G31+Datos_Base!L31+Datos_Base!F31)/Datos_Base!M31*100</f>
        <v/>
      </c>
    </row>
    <row r="10">
      <c r="A10" s="13" t="inlineStr">
        <is>
          <t>Promedio de países (media simple)</t>
        </is>
      </c>
      <c r="B10" s="18">
        <f>AVERAGE(B4:B9)</f>
        <v/>
      </c>
      <c r="C10" s="18">
        <f>AVERAGE(C4:C9)</f>
        <v/>
      </c>
      <c r="D10" s="18">
        <f>AVERAGE(D4:D9)</f>
        <v/>
      </c>
      <c r="E10" s="18">
        <f>AVERAGE(E4:E9)</f>
        <v/>
      </c>
      <c r="F10" s="18">
        <f>AVERAGE(F4:F9)</f>
        <v/>
      </c>
    </row>
    <row r="11">
      <c r="A11" s="13" t="inlineStr">
        <is>
          <t>Agregado regional (razón de sumas)</t>
        </is>
      </c>
      <c r="B11" s="18">
        <f>(SUM(Datos_Base!J2,Datos_Base!J7,Datos_Base!J12,Datos_Base!J17,Datos_Base!J22,Datos_Base!J27)+SUM(Datos_Base!I2,Datos_Base!I7,Datos_Base!I12,Datos_Base!I17,Datos_Base!I22,Datos_Base!I27)+SUM(Datos_Base!G2,Datos_Base!G7,Datos_Base!G12,Datos_Base!G17,Datos_Base!G22,Datos_Base!G27)+SUM(Datos_Base!L2,Datos_Base!L7,Datos_Base!L12,Datos_Base!L17,Datos_Base!L22,Datos_Base!L27)+SUM(Datos_Base!F2,Datos_Base!F7,Datos_Base!F12,Datos_Base!F17,Datos_Base!F22,Datos_Base!F27))/SUM(Datos_Base!M2,Datos_Base!M7,Datos_Base!M12,Datos_Base!M17,Datos_Base!M22,Datos_Base!M27)*100</f>
        <v/>
      </c>
      <c r="C11" s="18">
        <f>(SUM(Datos_Base!J3,Datos_Base!J8,Datos_Base!J13,Datos_Base!J18,Datos_Base!J23,Datos_Base!J28)+SUM(Datos_Base!I3,Datos_Base!I8,Datos_Base!I13,Datos_Base!I18,Datos_Base!I23,Datos_Base!I28)+SUM(Datos_Base!G3,Datos_Base!G8,Datos_Base!G13,Datos_Base!G18,Datos_Base!G23,Datos_Base!G28)+SUM(Datos_Base!L3,Datos_Base!L8,Datos_Base!L13,Datos_Base!L18,Datos_Base!L23,Datos_Base!L28)+SUM(Datos_Base!F3,Datos_Base!F8,Datos_Base!F13,Datos_Base!F18,Datos_Base!F23,Datos_Base!F28))/SUM(Datos_Base!M3,Datos_Base!M8,Datos_Base!M13,Datos_Base!M18,Datos_Base!M23,Datos_Base!M28)*100</f>
        <v/>
      </c>
      <c r="D11" s="18">
        <f>(SUM(Datos_Base!J4,Datos_Base!J9,Datos_Base!J14,Datos_Base!J19,Datos_Base!J24,Datos_Base!J29)+SUM(Datos_Base!I4,Datos_Base!I9,Datos_Base!I14,Datos_Base!I19,Datos_Base!I24,Datos_Base!I29)+SUM(Datos_Base!G4,Datos_Base!G9,Datos_Base!G14,Datos_Base!G19,Datos_Base!G24,Datos_Base!G29)+SUM(Datos_Base!L4,Datos_Base!L9,Datos_Base!L14,Datos_Base!L19,Datos_Base!L24,Datos_Base!L29)+SUM(Datos_Base!F4,Datos_Base!F9,Datos_Base!F14,Datos_Base!F19,Datos_Base!F24,Datos_Base!F29))/SUM(Datos_Base!M4,Datos_Base!M9,Datos_Base!M14,Datos_Base!M19,Datos_Base!M24,Datos_Base!M29)*100</f>
        <v/>
      </c>
      <c r="E11" s="18">
        <f>(SUM(Datos_Base!J5,Datos_Base!J10,Datos_Base!J15,Datos_Base!J20,Datos_Base!J25,Datos_Base!J30)+SUM(Datos_Base!I5,Datos_Base!I10,Datos_Base!I15,Datos_Base!I20,Datos_Base!I25,Datos_Base!I30)+SUM(Datos_Base!G5,Datos_Base!G10,Datos_Base!G15,Datos_Base!G20,Datos_Base!G25,Datos_Base!G30)+SUM(Datos_Base!L5,Datos_Base!L10,Datos_Base!L15,Datos_Base!L20,Datos_Base!L25,Datos_Base!L30)+SUM(Datos_Base!F5,Datos_Base!F10,Datos_Base!F15,Datos_Base!F20,Datos_Base!F25,Datos_Base!F30))/SUM(Datos_Base!M5,Datos_Base!M10,Datos_Base!M15,Datos_Base!M20,Datos_Base!M25,Datos_Base!M30)*100</f>
        <v/>
      </c>
      <c r="F11" s="18">
        <f>(SUM(Datos_Base!J6,Datos_Base!J11,Datos_Base!J16,Datos_Base!J21,Datos_Base!J26,Datos_Base!J31)+SUM(Datos_Base!I6,Datos_Base!I11,Datos_Base!I16,Datos_Base!I21,Datos_Base!I26,Datos_Base!I31)+SUM(Datos_Base!G6,Datos_Base!G11,Datos_Base!G16,Datos_Base!G21,Datos_Base!G26,Datos_Base!G31)+SUM(Datos_Base!L6,Datos_Base!L11,Datos_Base!L16,Datos_Base!L21,Datos_Base!L26,Datos_Base!L31)+SUM(Datos_Base!F6,Datos_Base!F11,Datos_Base!F16,Datos_Base!F21,Datos_Base!F26,Datos_Base!F31))/SUM(Datos_Base!M6,Datos_Base!M11,Datos_Base!M16,Datos_Base!M21,Datos_Base!M26,Datos_Base!M31)*100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ECO14 — Precios de la energía de uso final por sector (USD corrientes/MWh)</t>
        </is>
      </c>
    </row>
    <row r="2">
      <c r="A2" s="2" t="inlineStr">
        <is>
          <t>Fórmula: Ingresos por energía regulada vendida (USD) ÷ energía regulada consumida (MWh), calculado en el ETL</t>
        </is>
      </c>
    </row>
    <row r="3">
      <c r="A3" s="11" t="inlineStr">
        <is>
          <t>País</t>
        </is>
      </c>
      <c r="B3" s="11" t="n">
        <v>2020</v>
      </c>
      <c r="C3" s="11" t="n">
        <v>2021</v>
      </c>
      <c r="D3" s="11" t="n">
        <v>2022</v>
      </c>
      <c r="E3" s="11" t="n">
        <v>2023</v>
      </c>
      <c r="F3" s="11" t="n">
        <v>2024</v>
      </c>
    </row>
    <row r="4">
      <c r="A4" s="12" t="inlineStr">
        <is>
          <t>Costa Rica</t>
        </is>
      </c>
      <c r="B4" s="8">
        <f>Datos_Base!R2</f>
        <v/>
      </c>
      <c r="C4" s="8">
        <f>Datos_Base!R3</f>
        <v/>
      </c>
      <c r="D4" s="8">
        <f>Datos_Base!R4</f>
        <v/>
      </c>
      <c r="E4" s="10">
        <f>Datos_Base!R5</f>
        <v/>
      </c>
      <c r="F4" s="10">
        <f>Datos_Base!R6</f>
        <v/>
      </c>
    </row>
    <row r="5">
      <c r="A5" s="12" t="inlineStr">
        <is>
          <t>El Salvador</t>
        </is>
      </c>
      <c r="B5" s="8">
        <f>Datos_Base!R7</f>
        <v/>
      </c>
      <c r="C5" s="8">
        <f>Datos_Base!R8</f>
        <v/>
      </c>
      <c r="D5" s="10">
        <f>Datos_Base!R9</f>
        <v/>
      </c>
      <c r="E5" s="10">
        <f>Datos_Base!R10</f>
        <v/>
      </c>
      <c r="F5" s="10">
        <f>Datos_Base!R11</f>
        <v/>
      </c>
    </row>
    <row r="6">
      <c r="A6" s="12" t="inlineStr">
        <is>
          <t>Guatemala</t>
        </is>
      </c>
      <c r="B6" s="8">
        <f>Datos_Base!R12</f>
        <v/>
      </c>
      <c r="C6" s="8">
        <f>Datos_Base!R13</f>
        <v/>
      </c>
      <c r="D6" s="8">
        <f>Datos_Base!R14</f>
        <v/>
      </c>
      <c r="E6" s="10">
        <f>Datos_Base!R15</f>
        <v/>
      </c>
      <c r="F6" s="10">
        <f>Datos_Base!R16</f>
        <v/>
      </c>
    </row>
    <row r="7">
      <c r="A7" s="12" t="inlineStr">
        <is>
          <t>Honduras</t>
        </is>
      </c>
      <c r="B7" s="8">
        <f>Datos_Base!R17</f>
        <v/>
      </c>
      <c r="C7" s="8">
        <f>Datos_Base!R18</f>
        <v/>
      </c>
      <c r="D7" s="8">
        <f>Datos_Base!R19</f>
        <v/>
      </c>
      <c r="E7" s="10">
        <f>Datos_Base!R20</f>
        <v/>
      </c>
      <c r="F7" s="10">
        <f>Datos_Base!R21</f>
        <v/>
      </c>
    </row>
    <row r="8">
      <c r="A8" s="12" t="inlineStr">
        <is>
          <t>Nicaragua</t>
        </is>
      </c>
      <c r="B8" s="8">
        <f>Datos_Base!R22</f>
        <v/>
      </c>
      <c r="C8" s="8">
        <f>Datos_Base!R23</f>
        <v/>
      </c>
      <c r="D8" s="8">
        <f>Datos_Base!R24</f>
        <v/>
      </c>
      <c r="E8" s="10">
        <f>Datos_Base!R25</f>
        <v/>
      </c>
      <c r="F8" s="10">
        <f>Datos_Base!R26</f>
        <v/>
      </c>
    </row>
    <row r="9">
      <c r="A9" s="12" t="inlineStr">
        <is>
          <t>Panamá</t>
        </is>
      </c>
      <c r="B9" s="8">
        <f>Datos_Base!R27</f>
        <v/>
      </c>
      <c r="C9" s="8">
        <f>Datos_Base!R28</f>
        <v/>
      </c>
      <c r="D9" s="8">
        <f>Datos_Base!R29</f>
        <v/>
      </c>
      <c r="E9" s="10">
        <f>Datos_Base!R30</f>
        <v/>
      </c>
      <c r="F9" s="10">
        <f>Datos_Base!R31</f>
        <v/>
      </c>
    </row>
    <row r="10">
      <c r="A10" s="13" t="inlineStr">
        <is>
          <t>Promedio de países (media simple)</t>
        </is>
      </c>
      <c r="B10" s="19">
        <f>AVERAGE(B4:B9)</f>
        <v/>
      </c>
      <c r="C10" s="19">
        <f>AVERAGE(C4:C9)</f>
        <v/>
      </c>
      <c r="D10" s="19">
        <f>AVERAGE(D4:D9)</f>
        <v/>
      </c>
      <c r="E10" s="19">
        <f>AVERAGE(E4:E9)</f>
        <v/>
      </c>
      <c r="F10" s="19">
        <f>AVERAGE(F4:F9)</f>
        <v/>
      </c>
    </row>
    <row r="12">
      <c r="A12" s="2" t="inlineStr">
        <is>
          <t>Agregado regional no definido: la razón de sumas requiere energía regulada vendida (MWh) por país y año.</t>
        </is>
      </c>
    </row>
    <row r="14">
      <c r="A14" s="2" t="inlineStr">
        <is>
          <t>Celdas en amarillo: valores calculados mediante CAGR. Detalle en Datos_Base, columna tarifa_fuente_dato.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ECO15 — Dependencia de las importaciones netas de energía (%)</t>
        </is>
      </c>
    </row>
    <row r="2">
      <c r="A2" s="2" t="inlineStr">
        <is>
          <t>Fórmula: ((Importaciones − Exportaciones) ÷ (Producción Bruta + Importaciones − Exportaciones)) × 100</t>
        </is>
      </c>
    </row>
    <row r="3">
      <c r="A3" s="11" t="inlineStr">
        <is>
          <t>País</t>
        </is>
      </c>
      <c r="B3" s="11" t="n">
        <v>2020</v>
      </c>
      <c r="C3" s="11" t="n">
        <v>2021</v>
      </c>
      <c r="D3" s="11" t="n">
        <v>2022</v>
      </c>
      <c r="E3" s="11" t="n">
        <v>2023</v>
      </c>
      <c r="F3" s="11" t="n">
        <v>2024</v>
      </c>
    </row>
    <row r="4">
      <c r="A4" s="12" t="inlineStr">
        <is>
          <t>Costa Rica</t>
        </is>
      </c>
      <c r="B4" s="17">
        <f>(Datos_Base!N2-Datos_Base!E2)/(Datos_Base!Q2+Datos_Base!N2-Datos_Base!E2)*100</f>
        <v/>
      </c>
      <c r="C4" s="17">
        <f>(Datos_Base!N3-Datos_Base!E3)/(Datos_Base!Q3+Datos_Base!N3-Datos_Base!E3)*100</f>
        <v/>
      </c>
      <c r="D4" s="17">
        <f>(Datos_Base!N4-Datos_Base!E4)/(Datos_Base!Q4+Datos_Base!N4-Datos_Base!E4)*100</f>
        <v/>
      </c>
      <c r="E4" s="17">
        <f>(Datos_Base!N5-Datos_Base!E5)/(Datos_Base!Q5+Datos_Base!N5-Datos_Base!E5)*100</f>
        <v/>
      </c>
      <c r="F4" s="17">
        <f>(Datos_Base!N6-Datos_Base!E6)/(Datos_Base!Q6+Datos_Base!N6-Datos_Base!E6)*100</f>
        <v/>
      </c>
    </row>
    <row r="5">
      <c r="A5" s="12" t="inlineStr">
        <is>
          <t>El Salvador</t>
        </is>
      </c>
      <c r="B5" s="17">
        <f>(Datos_Base!N7-Datos_Base!E7)/(Datos_Base!Q7+Datos_Base!N7-Datos_Base!E7)*100</f>
        <v/>
      </c>
      <c r="C5" s="17">
        <f>(Datos_Base!N8-Datos_Base!E8)/(Datos_Base!Q8+Datos_Base!N8-Datos_Base!E8)*100</f>
        <v/>
      </c>
      <c r="D5" s="17">
        <f>(Datos_Base!N9-Datos_Base!E9)/(Datos_Base!Q9+Datos_Base!N9-Datos_Base!E9)*100</f>
        <v/>
      </c>
      <c r="E5" s="17">
        <f>(Datos_Base!N10-Datos_Base!E10)/(Datos_Base!Q10+Datos_Base!N10-Datos_Base!E10)*100</f>
        <v/>
      </c>
      <c r="F5" s="17">
        <f>(Datos_Base!N11-Datos_Base!E11)/(Datos_Base!Q11+Datos_Base!N11-Datos_Base!E11)*100</f>
        <v/>
      </c>
    </row>
    <row r="6">
      <c r="A6" s="12" t="inlineStr">
        <is>
          <t>Guatemala</t>
        </is>
      </c>
      <c r="B6" s="17">
        <f>(Datos_Base!N12-Datos_Base!E12)/(Datos_Base!Q12+Datos_Base!N12-Datos_Base!E12)*100</f>
        <v/>
      </c>
      <c r="C6" s="17">
        <f>(Datos_Base!N13-Datos_Base!E13)/(Datos_Base!Q13+Datos_Base!N13-Datos_Base!E13)*100</f>
        <v/>
      </c>
      <c r="D6" s="17">
        <f>(Datos_Base!N14-Datos_Base!E14)/(Datos_Base!Q14+Datos_Base!N14-Datos_Base!E14)*100</f>
        <v/>
      </c>
      <c r="E6" s="17">
        <f>(Datos_Base!N15-Datos_Base!E15)/(Datos_Base!Q15+Datos_Base!N15-Datos_Base!E15)*100</f>
        <v/>
      </c>
      <c r="F6" s="17">
        <f>(Datos_Base!N16-Datos_Base!E16)/(Datos_Base!Q16+Datos_Base!N16-Datos_Base!E16)*100</f>
        <v/>
      </c>
    </row>
    <row r="7">
      <c r="A7" s="12" t="inlineStr">
        <is>
          <t>Honduras</t>
        </is>
      </c>
      <c r="B7" s="17">
        <f>(Datos_Base!N17-Datos_Base!E17)/(Datos_Base!Q17+Datos_Base!N17-Datos_Base!E17)*100</f>
        <v/>
      </c>
      <c r="C7" s="17">
        <f>(Datos_Base!N18-Datos_Base!E18)/(Datos_Base!Q18+Datos_Base!N18-Datos_Base!E18)*100</f>
        <v/>
      </c>
      <c r="D7" s="17">
        <f>(Datos_Base!N19-Datos_Base!E19)/(Datos_Base!Q19+Datos_Base!N19-Datos_Base!E19)*100</f>
        <v/>
      </c>
      <c r="E7" s="17">
        <f>(Datos_Base!N20-Datos_Base!E20)/(Datos_Base!Q20+Datos_Base!N20-Datos_Base!E20)*100</f>
        <v/>
      </c>
      <c r="F7" s="17">
        <f>(Datos_Base!N21-Datos_Base!E21)/(Datos_Base!Q21+Datos_Base!N21-Datos_Base!E21)*100</f>
        <v/>
      </c>
    </row>
    <row r="8">
      <c r="A8" s="12" t="inlineStr">
        <is>
          <t>Nicaragua</t>
        </is>
      </c>
      <c r="B8" s="17">
        <f>(Datos_Base!N22-Datos_Base!E22)/(Datos_Base!Q22+Datos_Base!N22-Datos_Base!E22)*100</f>
        <v/>
      </c>
      <c r="C8" s="17">
        <f>(Datos_Base!N23-Datos_Base!E23)/(Datos_Base!Q23+Datos_Base!N23-Datos_Base!E23)*100</f>
        <v/>
      </c>
      <c r="D8" s="17">
        <f>(Datos_Base!N24-Datos_Base!E24)/(Datos_Base!Q24+Datos_Base!N24-Datos_Base!E24)*100</f>
        <v/>
      </c>
      <c r="E8" s="17">
        <f>(Datos_Base!N25-Datos_Base!E25)/(Datos_Base!Q25+Datos_Base!N25-Datos_Base!E25)*100</f>
        <v/>
      </c>
      <c r="F8" s="17">
        <f>(Datos_Base!N26-Datos_Base!E26)/(Datos_Base!Q26+Datos_Base!N26-Datos_Base!E26)*100</f>
        <v/>
      </c>
    </row>
    <row r="9">
      <c r="A9" s="12" t="inlineStr">
        <is>
          <t>Panamá</t>
        </is>
      </c>
      <c r="B9" s="17">
        <f>(Datos_Base!N27-Datos_Base!E27)/(Datos_Base!Q27+Datos_Base!N27-Datos_Base!E27)*100</f>
        <v/>
      </c>
      <c r="C9" s="17">
        <f>(Datos_Base!N28-Datos_Base!E28)/(Datos_Base!Q28+Datos_Base!N28-Datos_Base!E28)*100</f>
        <v/>
      </c>
      <c r="D9" s="17">
        <f>(Datos_Base!N29-Datos_Base!E29)/(Datos_Base!Q29+Datos_Base!N29-Datos_Base!E29)*100</f>
        <v/>
      </c>
      <c r="E9" s="17">
        <f>(Datos_Base!N30-Datos_Base!E30)/(Datos_Base!Q30+Datos_Base!N30-Datos_Base!E30)*100</f>
        <v/>
      </c>
      <c r="F9" s="17">
        <f>(Datos_Base!N31-Datos_Base!E31)/(Datos_Base!Q31+Datos_Base!N31-Datos_Base!E31)*100</f>
        <v/>
      </c>
    </row>
    <row r="10">
      <c r="A10" s="13" t="inlineStr">
        <is>
          <t>Promedio de países (media simple)</t>
        </is>
      </c>
      <c r="B10" s="18">
        <f>AVERAGE(B4:B9)</f>
        <v/>
      </c>
      <c r="C10" s="18">
        <f>AVERAGE(C4:C9)</f>
        <v/>
      </c>
      <c r="D10" s="18">
        <f>AVERAGE(D4:D9)</f>
        <v/>
      </c>
      <c r="E10" s="18">
        <f>AVERAGE(E4:E9)</f>
        <v/>
      </c>
      <c r="F10" s="18">
        <f>AVERAGE(F4:F9)</f>
        <v/>
      </c>
    </row>
    <row r="11">
      <c r="A11" s="13" t="inlineStr">
        <is>
          <t>Agregado regional (razón de sumas)</t>
        </is>
      </c>
      <c r="B11" s="18">
        <f>(SUM(Datos_Base!N2,Datos_Base!N7,Datos_Base!N12,Datos_Base!N17,Datos_Base!N22,Datos_Base!N27)-SUM(Datos_Base!E2,Datos_Base!E7,Datos_Base!E12,Datos_Base!E17,Datos_Base!E22,Datos_Base!E27))/(SUM(Datos_Base!Q2,Datos_Base!Q7,Datos_Base!Q12,Datos_Base!Q17,Datos_Base!Q22,Datos_Base!Q27)+SUM(Datos_Base!N2,Datos_Base!N7,Datos_Base!N12,Datos_Base!N17,Datos_Base!N22,Datos_Base!N27)-SUM(Datos_Base!E2,Datos_Base!E7,Datos_Base!E12,Datos_Base!E17,Datos_Base!E22,Datos_Base!E27))*100</f>
        <v/>
      </c>
      <c r="C11" s="18">
        <f>(SUM(Datos_Base!N3,Datos_Base!N8,Datos_Base!N13,Datos_Base!N18,Datos_Base!N23,Datos_Base!N28)-SUM(Datos_Base!E3,Datos_Base!E8,Datos_Base!E13,Datos_Base!E18,Datos_Base!E23,Datos_Base!E28))/(SUM(Datos_Base!Q3,Datos_Base!Q8,Datos_Base!Q13,Datos_Base!Q18,Datos_Base!Q23,Datos_Base!Q28)+SUM(Datos_Base!N3,Datos_Base!N8,Datos_Base!N13,Datos_Base!N18,Datos_Base!N23,Datos_Base!N28)-SUM(Datos_Base!E3,Datos_Base!E8,Datos_Base!E13,Datos_Base!E18,Datos_Base!E23,Datos_Base!E28))*100</f>
        <v/>
      </c>
      <c r="D11" s="18">
        <f>(SUM(Datos_Base!N4,Datos_Base!N9,Datos_Base!N14,Datos_Base!N19,Datos_Base!N24,Datos_Base!N29)-SUM(Datos_Base!E4,Datos_Base!E9,Datos_Base!E14,Datos_Base!E19,Datos_Base!E24,Datos_Base!E29))/(SUM(Datos_Base!Q4,Datos_Base!Q9,Datos_Base!Q14,Datos_Base!Q19,Datos_Base!Q24,Datos_Base!Q29)+SUM(Datos_Base!N4,Datos_Base!N9,Datos_Base!N14,Datos_Base!N19,Datos_Base!N24,Datos_Base!N29)-SUM(Datos_Base!E4,Datos_Base!E9,Datos_Base!E14,Datos_Base!E19,Datos_Base!E24,Datos_Base!E29))*100</f>
        <v/>
      </c>
      <c r="E11" s="18">
        <f>(SUM(Datos_Base!N5,Datos_Base!N10,Datos_Base!N15,Datos_Base!N20,Datos_Base!N25,Datos_Base!N30)-SUM(Datos_Base!E5,Datos_Base!E10,Datos_Base!E15,Datos_Base!E20,Datos_Base!E25,Datos_Base!E30))/(SUM(Datos_Base!Q5,Datos_Base!Q10,Datos_Base!Q15,Datos_Base!Q20,Datos_Base!Q25,Datos_Base!Q30)+SUM(Datos_Base!N5,Datos_Base!N10,Datos_Base!N15,Datos_Base!N20,Datos_Base!N25,Datos_Base!N30)-SUM(Datos_Base!E5,Datos_Base!E10,Datos_Base!E15,Datos_Base!E20,Datos_Base!E25,Datos_Base!E30))*100</f>
        <v/>
      </c>
      <c r="F11" s="18">
        <f>(SUM(Datos_Base!N6,Datos_Base!N11,Datos_Base!N16,Datos_Base!N21,Datos_Base!N26,Datos_Base!N31)-SUM(Datos_Base!E6,Datos_Base!E11,Datos_Base!E16,Datos_Base!E21,Datos_Base!E26,Datos_Base!E31))/(SUM(Datos_Base!Q6,Datos_Base!Q11,Datos_Base!Q16,Datos_Base!Q21,Datos_Base!Q26,Datos_Base!Q31)+SUM(Datos_Base!N6,Datos_Base!N11,Datos_Base!N16,Datos_Base!N21,Datos_Base!N26,Datos_Base!N31)-SUM(Datos_Base!E6,Datos_Base!E11,Datos_Base!E16,Datos_Base!E21,Datos_Base!E26,Datos_Base!E31)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2026-08-15T14:01:20Z</dcterms:created>
  <dcterms:modified xsi:type="dcterms:W3CDTF">2026-08-15T14:01:20Z</dcterms:modified>
</cp:coreProperties>
</file>