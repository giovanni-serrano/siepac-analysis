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 Cada hoja cierra con dos resúmenes: Promedio de países (media simple, el país típico) y Agregado regional (razón de sumas Σnum/Σden, el bloque como sistema).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Industrial (USD constantes 2015)</t>
        </is>
      </c>
      <c r="E8" s="4" t="inlineStr">
        <is>
          <t>SIELAC-OLADE (consumo industrial); CEPALSTAT ODS 9.2.1 × Banco Mundial (VAI)</t>
        </is>
      </c>
      <c r="F8" s="4" t="inlineStr">
        <is>
          <t>El VAI en USD ya fue calculado en el ETL como VAI%%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imputación CAGR para años faltantes documentada en el ETL</t>
        </is>
      </c>
      <c r="F11" s="4" t="inlineStr">
        <is>
          <t>En USD corrientes del año bajo análisis (no constantes). Las celdas sombreadas en amarillo son valores imputados vía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de países (media simple)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  <row r="11">
      <c r="A11" s="13" t="inlineStr">
        <is>
          <t>Agregado regional (razón de sumas)</t>
        </is>
      </c>
      <c r="B11" s="14">
        <f>SUM(Datos_Base!C2,Datos_Base!C7,Datos_Base!C12,Datos_Base!C17,Datos_Base!C22,Datos_Base!C27)/SUM(Datos_Base!P2,Datos_Base!P7,Datos_Base!P12,Datos_Base!P17,Datos_Base!P22,Datos_Base!P27)</f>
        <v/>
      </c>
      <c r="C11" s="14">
        <f>SUM(Datos_Base!C3,Datos_Base!C8,Datos_Base!C13,Datos_Base!C18,Datos_Base!C23,Datos_Base!C28)/SUM(Datos_Base!P3,Datos_Base!P8,Datos_Base!P13,Datos_Base!P18,Datos_Base!P23,Datos_Base!P28)</f>
        <v/>
      </c>
      <c r="D11" s="14">
        <f>SUM(Datos_Base!C4,Datos_Base!C9,Datos_Base!C14,Datos_Base!C19,Datos_Base!C24,Datos_Base!C29)/SUM(Datos_Base!P4,Datos_Base!P9,Datos_Base!P14,Datos_Base!P19,Datos_Base!P24,Datos_Base!P29)</f>
        <v/>
      </c>
      <c r="E11" s="14">
        <f>SUM(Datos_Base!C5,Datos_Base!C10,Datos_Base!C15,Datos_Base!C20,Datos_Base!C25,Datos_Base!C30)/SUM(Datos_Base!P5,Datos_Base!P10,Datos_Base!P15,Datos_Base!P20,Datos_Base!P25,Datos_Base!P30)</f>
        <v/>
      </c>
      <c r="F11" s="14">
        <f>SUM(Datos_Base!C6,Datos_Base!C11,Datos_Base!C16,Datos_Base!C21,Datos_Base!C26,Datos_Base!C31)/SUM(Datos_Base!P6,Datos_Base!P11,Datos_Base!P16,Datos_Base!P21,Datos_Base!P26,Datos_Base!P31)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SUM(Datos_Base!C2,Datos_Base!C7,Datos_Base!C12,Datos_Base!C17,Datos_Base!C22,Datos_Base!C27)/SUM(Datos_Base!O2,Datos_Base!O7,Datos_Base!O12,Datos_Base!O17,Datos_Base!O22,Datos_Base!O27)</f>
        <v/>
      </c>
      <c r="C11" s="16">
        <f>SUM(Datos_Base!C3,Datos_Base!C8,Datos_Base!C13,Datos_Base!C18,Datos_Base!C23,Datos_Base!C28)/SUM(Datos_Base!O3,Datos_Base!O8,Datos_Base!O13,Datos_Base!O18,Datos_Base!O23,Datos_Base!O28)</f>
        <v/>
      </c>
      <c r="D11" s="16">
        <f>SUM(Datos_Base!C4,Datos_Base!C9,Datos_Base!C14,Datos_Base!C19,Datos_Base!C24,Datos_Base!C29)/SUM(Datos_Base!O4,Datos_Base!O9,Datos_Base!O14,Datos_Base!O19,Datos_Base!O24,Datos_Base!O29)</f>
        <v/>
      </c>
      <c r="E11" s="16">
        <f>SUM(Datos_Base!C5,Datos_Base!C10,Datos_Base!C15,Datos_Base!C20,Datos_Base!C25,Datos_Base!C30)/SUM(Datos_Base!O5,Datos_Base!O10,Datos_Base!O15,Datos_Base!O20,Datos_Base!O25,Datos_Base!O30)</f>
        <v/>
      </c>
      <c r="F11" s="16">
        <f>SUM(Datos_Base!C6,Datos_Base!C11,Datos_Base!C16,Datos_Base!C21,Datos_Base!C26,Datos_Base!C31)/SUM(Datos_Base!O6,Datos_Base!O11,Datos_Base!O16,Datos_Base!O21,Datos_Base!O26,Datos_Base!O31)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SUM(Datos_Base!C2,Datos_Base!C7,Datos_Base!C12,Datos_Base!C17,Datos_Base!C22,Datos_Base!C27)/SUM(Datos_Base!Q2,Datos_Base!Q7,Datos_Base!Q12,Datos_Base!Q17,Datos_Base!Q22,Datos_Base!Q27)*100</f>
        <v/>
      </c>
      <c r="C11" s="18">
        <f>SUM(Datos_Base!C3,Datos_Base!C8,Datos_Base!C13,Datos_Base!C18,Datos_Base!C23,Datos_Base!C28)/SUM(Datos_Base!Q3,Datos_Base!Q8,Datos_Base!Q13,Datos_Base!Q18,Datos_Base!Q23,Datos_Base!Q28)*100</f>
        <v/>
      </c>
      <c r="D11" s="18">
        <f>SUM(Datos_Base!C4,Datos_Base!C9,Datos_Base!C14,Datos_Base!C19,Datos_Base!C24,Datos_Base!C29)/SUM(Datos_Base!Q4,Datos_Base!Q9,Datos_Base!Q14,Datos_Base!Q19,Datos_Base!Q24,Datos_Base!Q29)*100</f>
        <v/>
      </c>
      <c r="E11" s="18">
        <f>SUM(Datos_Base!C5,Datos_Base!C10,Datos_Base!C15,Datos_Base!C20,Datos_Base!C25,Datos_Base!C30)/SUM(Datos_Base!Q5,Datos_Base!Q10,Datos_Base!Q15,Datos_Base!Q20,Datos_Base!Q25,Datos_Base!Q30)*100</f>
        <v/>
      </c>
      <c r="F11" s="18">
        <f>SUM(Datos_Base!C6,Datos_Base!C11,Datos_Base!C16,Datos_Base!C21,Datos_Base!C26,Datos_Base!C31)/SUM(Datos_Base!Q6,Datos_Base!Q11,Datos_Base!Q16,Datos_Base!Q21,Datos_Base!Q26,Datos_Base!Q31)*100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Industrial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SUM(Datos_Base!D2,Datos_Base!D7,Datos_Base!D12,Datos_Base!D17,Datos_Base!D22,Datos_Base!D27)/SUM(Datos_Base!T2,Datos_Base!T7,Datos_Base!T12,Datos_Base!T17,Datos_Base!T22,Datos_Base!T27)</f>
        <v/>
      </c>
      <c r="C11" s="16">
        <f>SUM(Datos_Base!D3,Datos_Base!D8,Datos_Base!D13,Datos_Base!D18,Datos_Base!D23,Datos_Base!D28)/SUM(Datos_Base!T3,Datos_Base!T8,Datos_Base!T13,Datos_Base!T18,Datos_Base!T23,Datos_Base!T28)</f>
        <v/>
      </c>
      <c r="D11" s="16">
        <f>SUM(Datos_Base!D4,Datos_Base!D9,Datos_Base!D14,Datos_Base!D19,Datos_Base!D24,Datos_Base!D29)/SUM(Datos_Base!T4,Datos_Base!T9,Datos_Base!T14,Datos_Base!T19,Datos_Base!T24,Datos_Base!T29)</f>
        <v/>
      </c>
      <c r="E11" s="16">
        <f>SUM(Datos_Base!D5,Datos_Base!D10,Datos_Base!D15,Datos_Base!D20,Datos_Base!D25,Datos_Base!D30)/SUM(Datos_Base!T5,Datos_Base!T10,Datos_Base!T15,Datos_Base!T20,Datos_Base!T25,Datos_Base!T30)</f>
        <v/>
      </c>
      <c r="F11" s="16">
        <f>SUM(Datos_Base!D6,Datos_Base!D11,Datos_Base!D16,Datos_Base!D21,Datos_Base!D26,Datos_Base!D31)/SUM(Datos_Base!T6,Datos_Base!T11,Datos_Base!T16,Datos_Base!T21,Datos_Base!T26,Datos_Base!T31)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SUM(Datos_Base!H2,Datos_Base!H7,Datos_Base!H12,Datos_Base!H17,Datos_Base!H22,Datos_Base!H27)/SUM(Datos_Base!M2,Datos_Base!M7,Datos_Base!M12,Datos_Base!M17,Datos_Base!M22,Datos_Base!M27)*100</f>
        <v/>
      </c>
      <c r="C11" s="18">
        <f>SUM(Datos_Base!H3,Datos_Base!H8,Datos_Base!H13,Datos_Base!H18,Datos_Base!H23,Datos_Base!H28)/SUM(Datos_Base!M3,Datos_Base!M8,Datos_Base!M13,Datos_Base!M18,Datos_Base!M23,Datos_Base!M28)*100</f>
        <v/>
      </c>
      <c r="D11" s="18">
        <f>SUM(Datos_Base!H4,Datos_Base!H9,Datos_Base!H14,Datos_Base!H19,Datos_Base!H24,Datos_Base!H29)/SUM(Datos_Base!M4,Datos_Base!M9,Datos_Base!M14,Datos_Base!M19,Datos_Base!M24,Datos_Base!M29)*100</f>
        <v/>
      </c>
      <c r="E11" s="18">
        <f>SUM(Datos_Base!H5,Datos_Base!H10,Datos_Base!H15,Datos_Base!H20,Datos_Base!H25,Datos_Base!H30)/SUM(Datos_Base!M5,Datos_Base!M10,Datos_Base!M15,Datos_Base!M20,Datos_Base!M25,Datos_Base!M30)*100</f>
        <v/>
      </c>
      <c r="F11" s="18">
        <f>SUM(Datos_Base!H6,Datos_Base!H11,Datos_Base!H16,Datos_Base!H21,Datos_Base!H26,Datos_Base!H31)/SUM(Datos_Base!M6,Datos_Base!M11,Datos_Base!M16,Datos_Base!M21,Datos_Base!M26,Datos_Base!M31)*100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J2,Datos_Base!J7,Datos_Base!J12,Datos_Base!J17,Datos_Base!J22,Datos_Base!J27)+SUM(Datos_Base!I2,Datos_Base!I7,Datos_Base!I12,Datos_Base!I17,Datos_Base!I22,Datos_Base!I27)+SUM(Datos_Base!G2,Datos_Base!G7,Datos_Base!G12,Datos_Base!G17,Datos_Base!G22,Datos_Base!G27)+SUM(Datos_Base!L2,Datos_Base!L7,Datos_Base!L12,Datos_Base!L17,Datos_Base!L22,Datos_Base!L27)+SUM(Datos_Base!F2,Datos_Base!F7,Datos_Base!F12,Datos_Base!F17,Datos_Base!F22,Datos_Base!F27))/SUM(Datos_Base!M2,Datos_Base!M7,Datos_Base!M12,Datos_Base!M17,Datos_Base!M22,Datos_Base!M27)*100</f>
        <v/>
      </c>
      <c r="C11" s="18">
        <f>(SUM(Datos_Base!J3,Datos_Base!J8,Datos_Base!J13,Datos_Base!J18,Datos_Base!J23,Datos_Base!J28)+SUM(Datos_Base!I3,Datos_Base!I8,Datos_Base!I13,Datos_Base!I18,Datos_Base!I23,Datos_Base!I28)+SUM(Datos_Base!G3,Datos_Base!G8,Datos_Base!G13,Datos_Base!G18,Datos_Base!G23,Datos_Base!G28)+SUM(Datos_Base!L3,Datos_Base!L8,Datos_Base!L13,Datos_Base!L18,Datos_Base!L23,Datos_Base!L28)+SUM(Datos_Base!F3,Datos_Base!F8,Datos_Base!F13,Datos_Base!F18,Datos_Base!F23,Datos_Base!F28))/SUM(Datos_Base!M3,Datos_Base!M8,Datos_Base!M13,Datos_Base!M18,Datos_Base!M23,Datos_Base!M28)*100</f>
        <v/>
      </c>
      <c r="D11" s="18">
        <f>(SUM(Datos_Base!J4,Datos_Base!J9,Datos_Base!J14,Datos_Base!J19,Datos_Base!J24,Datos_Base!J29)+SUM(Datos_Base!I4,Datos_Base!I9,Datos_Base!I14,Datos_Base!I19,Datos_Base!I24,Datos_Base!I29)+SUM(Datos_Base!G4,Datos_Base!G9,Datos_Base!G14,Datos_Base!G19,Datos_Base!G24,Datos_Base!G29)+SUM(Datos_Base!L4,Datos_Base!L9,Datos_Base!L14,Datos_Base!L19,Datos_Base!L24,Datos_Base!L29)+SUM(Datos_Base!F4,Datos_Base!F9,Datos_Base!F14,Datos_Base!F19,Datos_Base!F24,Datos_Base!F29))/SUM(Datos_Base!M4,Datos_Base!M9,Datos_Base!M14,Datos_Base!M19,Datos_Base!M24,Datos_Base!M29)*100</f>
        <v/>
      </c>
      <c r="E11" s="18">
        <f>(SUM(Datos_Base!J5,Datos_Base!J10,Datos_Base!J15,Datos_Base!J20,Datos_Base!J25,Datos_Base!J30)+SUM(Datos_Base!I5,Datos_Base!I10,Datos_Base!I15,Datos_Base!I20,Datos_Base!I25,Datos_Base!I30)+SUM(Datos_Base!G5,Datos_Base!G10,Datos_Base!G15,Datos_Base!G20,Datos_Base!G25,Datos_Base!G30)+SUM(Datos_Base!L5,Datos_Base!L10,Datos_Base!L15,Datos_Base!L20,Datos_Base!L25,Datos_Base!L30)+SUM(Datos_Base!F5,Datos_Base!F10,Datos_Base!F15,Datos_Base!F20,Datos_Base!F25,Datos_Base!F30))/SUM(Datos_Base!M5,Datos_Base!M10,Datos_Base!M15,Datos_Base!M20,Datos_Base!M25,Datos_Base!M30)*100</f>
        <v/>
      </c>
      <c r="F11" s="18">
        <f>(SUM(Datos_Base!J6,Datos_Base!J11,Datos_Base!J16,Datos_Base!J21,Datos_Base!J26,Datos_Base!J31)+SUM(Datos_Base!I6,Datos_Base!I11,Datos_Base!I16,Datos_Base!I21,Datos_Base!I26,Datos_Base!I31)+SUM(Datos_Base!G6,Datos_Base!G11,Datos_Base!G16,Datos_Base!G21,Datos_Base!G26,Datos_Base!G31)+SUM(Datos_Base!L6,Datos_Base!L11,Datos_Base!L16,Datos_Base!L21,Datos_Base!L26,Datos_Base!L31)+SUM(Datos_Base!F6,Datos_Base!F11,Datos_Base!F16,Datos_Base!F21,Datos_Base!F26,Datos_Base!F31)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de países (media simple)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Sin agregado regional: la fuente no publica la energía regulada vendida (MWh) por país para ponderar la tarifa.</t>
        </is>
      </c>
    </row>
    <row r="14">
      <c r="A14" s="2" t="inlineStr">
        <is>
          <t>Celdas en amarillo: valores imputados vía CAGR (no observados).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N2,Datos_Base!N7,Datos_Base!N12,Datos_Base!N17,Datos_Base!N22,Datos_Base!N27)-SUM(Datos_Base!E2,Datos_Base!E7,Datos_Base!E12,Datos_Base!E17,Datos_Base!E22,Datos_Base!E27))/(SUM(Datos_Base!Q2,Datos_Base!Q7,Datos_Base!Q12,Datos_Base!Q17,Datos_Base!Q22,Datos_Base!Q27)+SUM(Datos_Base!N2,Datos_Base!N7,Datos_Base!N12,Datos_Base!N17,Datos_Base!N22,Datos_Base!N27)-SUM(Datos_Base!E2,Datos_Base!E7,Datos_Base!E12,Datos_Base!E17,Datos_Base!E22,Datos_Base!E27))*100</f>
        <v/>
      </c>
      <c r="C11" s="18">
        <f>(SUM(Datos_Base!N3,Datos_Base!N8,Datos_Base!N13,Datos_Base!N18,Datos_Base!N23,Datos_Base!N28)-SUM(Datos_Base!E3,Datos_Base!E8,Datos_Base!E13,Datos_Base!E18,Datos_Base!E23,Datos_Base!E28))/(SUM(Datos_Base!Q3,Datos_Base!Q8,Datos_Base!Q13,Datos_Base!Q18,Datos_Base!Q23,Datos_Base!Q28)+SUM(Datos_Base!N3,Datos_Base!N8,Datos_Base!N13,Datos_Base!N18,Datos_Base!N23,Datos_Base!N28)-SUM(Datos_Base!E3,Datos_Base!E8,Datos_Base!E13,Datos_Base!E18,Datos_Base!E23,Datos_Base!E28))*100</f>
        <v/>
      </c>
      <c r="D11" s="18">
        <f>(SUM(Datos_Base!N4,Datos_Base!N9,Datos_Base!N14,Datos_Base!N19,Datos_Base!N24,Datos_Base!N29)-SUM(Datos_Base!E4,Datos_Base!E9,Datos_Base!E14,Datos_Base!E19,Datos_Base!E24,Datos_Base!E29))/(SUM(Datos_Base!Q4,Datos_Base!Q9,Datos_Base!Q14,Datos_Base!Q19,Datos_Base!Q24,Datos_Base!Q29)+SUM(Datos_Base!N4,Datos_Base!N9,Datos_Base!N14,Datos_Base!N19,Datos_Base!N24,Datos_Base!N29)-SUM(Datos_Base!E4,Datos_Base!E9,Datos_Base!E14,Datos_Base!E19,Datos_Base!E24,Datos_Base!E29))*100</f>
        <v/>
      </c>
      <c r="E11" s="18">
        <f>(SUM(Datos_Base!N5,Datos_Base!N10,Datos_Base!N15,Datos_Base!N20,Datos_Base!N25,Datos_Base!N30)-SUM(Datos_Base!E5,Datos_Base!E10,Datos_Base!E15,Datos_Base!E20,Datos_Base!E25,Datos_Base!E30))/(SUM(Datos_Base!Q5,Datos_Base!Q10,Datos_Base!Q15,Datos_Base!Q20,Datos_Base!Q25,Datos_Base!Q30)+SUM(Datos_Base!N5,Datos_Base!N10,Datos_Base!N15,Datos_Base!N20,Datos_Base!N25,Datos_Base!N30)-SUM(Datos_Base!E5,Datos_Base!E10,Datos_Base!E15,Datos_Base!E20,Datos_Base!E25,Datos_Base!E30))*100</f>
        <v/>
      </c>
      <c r="F11" s="18">
        <f>(SUM(Datos_Base!N6,Datos_Base!N11,Datos_Base!N16,Datos_Base!N21,Datos_Base!N26,Datos_Base!N31)-SUM(Datos_Base!E6,Datos_Base!E11,Datos_Base!E16,Datos_Base!E21,Datos_Base!E26,Datos_Base!E31))/(SUM(Datos_Base!Q6,Datos_Base!Q11,Datos_Base!Q16,Datos_Base!Q21,Datos_Base!Q26,Datos_Base!Q31)+SUM(Datos_Base!N6,Datos_Base!N11,Datos_Base!N16,Datos_Base!N21,Datos_Base!N26,Datos_Base!N31)-SUM(Datos_Base!E6,Datos_Base!E11,Datos_Base!E16,Datos_Base!E21,Datos_Base!E26,Datos_Base!E31)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2026-07-22T16:45:37Z</dcterms:created>
  <dcterms:modified xsi:type="dcterms:W3CDTF">2026-07-22T16:45:37Z</dcterms:modified>
</cp:coreProperties>
</file>