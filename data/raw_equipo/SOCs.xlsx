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/>
  </mc:AlternateContent>
  <xr:revisionPtr revIDLastSave="0" documentId="13_ncr:1_{90AD96B3-1901-4300-966A-A08C08BDEBD6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SOC 1" sheetId="1" r:id="rId1"/>
    <sheet name="SOC 2 NIC  (2)" sheetId="2" r:id="rId2"/>
    <sheet name="SOC 2 TOTAL" sheetId="3" r:id="rId3"/>
    <sheet name="SOC 2 CR" sheetId="4" r:id="rId4"/>
    <sheet name="SOC 2 HD" sheetId="5" r:id="rId5"/>
    <sheet name="SOC 2 ES" sheetId="6" r:id="rId6"/>
    <sheet name="SOC 2 GUA" sheetId="7" r:id="rId7"/>
    <sheet name="SOC 2 PAN" sheetId="8" r:id="rId8"/>
    <sheet name="SOC 3" sheetId="9" r:id="rId9"/>
    <sheet name="Capacidad instalada" sheetId="10" r:id="rId10"/>
    <sheet name="Hoja1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82" i="10" l="1"/>
  <c r="G83" i="10" s="1"/>
  <c r="F82" i="10"/>
  <c r="F83" i="10" s="1"/>
  <c r="E82" i="10"/>
  <c r="E83" i="10" s="1"/>
  <c r="D82" i="10"/>
  <c r="D83" i="10" s="1"/>
  <c r="C82" i="10"/>
  <c r="C83" i="10" s="1"/>
  <c r="B82" i="10"/>
  <c r="B83" i="10" s="1"/>
  <c r="G81" i="10"/>
  <c r="F81" i="10"/>
  <c r="E81" i="10"/>
  <c r="D81" i="10"/>
  <c r="C81" i="10"/>
  <c r="B81" i="10"/>
  <c r="H81" i="10" s="1"/>
  <c r="H80" i="10"/>
  <c r="H79" i="10"/>
  <c r="H78" i="10"/>
  <c r="H82" i="10" s="1"/>
  <c r="H83" i="10" s="1"/>
  <c r="H77" i="10"/>
  <c r="H76" i="10"/>
  <c r="H75" i="10"/>
  <c r="A69" i="10"/>
  <c r="G68" i="10"/>
  <c r="G69" i="10" s="1"/>
  <c r="F68" i="10"/>
  <c r="E68" i="10"/>
  <c r="D68" i="10"/>
  <c r="D69" i="10" s="1"/>
  <c r="C68" i="10"/>
  <c r="B68" i="10"/>
  <c r="A68" i="10"/>
  <c r="G67" i="10"/>
  <c r="F67" i="10"/>
  <c r="F69" i="10" s="1"/>
  <c r="E67" i="10"/>
  <c r="H67" i="10" s="1"/>
  <c r="D67" i="10"/>
  <c r="C67" i="10"/>
  <c r="C69" i="10" s="1"/>
  <c r="B67" i="10"/>
  <c r="B69" i="10" s="1"/>
  <c r="H66" i="10"/>
  <c r="H65" i="10"/>
  <c r="H64" i="10"/>
  <c r="H63" i="10"/>
  <c r="H62" i="10"/>
  <c r="H61" i="10"/>
  <c r="H60" i="10"/>
  <c r="H59" i="10"/>
  <c r="H68" i="10" s="1"/>
  <c r="G52" i="10"/>
  <c r="D52" i="10"/>
  <c r="G51" i="10"/>
  <c r="F51" i="10"/>
  <c r="F52" i="10" s="1"/>
  <c r="E51" i="10"/>
  <c r="D51" i="10"/>
  <c r="C51" i="10"/>
  <c r="B51" i="10"/>
  <c r="B52" i="10" s="1"/>
  <c r="G50" i="10"/>
  <c r="F50" i="10"/>
  <c r="E50" i="10"/>
  <c r="E52" i="10" s="1"/>
  <c r="D50" i="10"/>
  <c r="C50" i="10"/>
  <c r="C52" i="10" s="1"/>
  <c r="B50" i="10"/>
  <c r="H49" i="10"/>
  <c r="H48" i="10"/>
  <c r="H47" i="10"/>
  <c r="H46" i="10"/>
  <c r="H45" i="10"/>
  <c r="H44" i="10"/>
  <c r="H43" i="10"/>
  <c r="H42" i="10"/>
  <c r="H41" i="10"/>
  <c r="H51" i="10" s="1"/>
  <c r="E34" i="10"/>
  <c r="B34" i="10"/>
  <c r="G33" i="10"/>
  <c r="G34" i="10" s="1"/>
  <c r="F33" i="10"/>
  <c r="F34" i="10" s="1"/>
  <c r="E33" i="10"/>
  <c r="D33" i="10"/>
  <c r="D34" i="10" s="1"/>
  <c r="C33" i="10"/>
  <c r="B33" i="10"/>
  <c r="G32" i="10"/>
  <c r="F32" i="10"/>
  <c r="E32" i="10"/>
  <c r="D32" i="10"/>
  <c r="C32" i="10"/>
  <c r="C34" i="10" s="1"/>
  <c r="B32" i="10"/>
  <c r="H31" i="10"/>
  <c r="H30" i="10"/>
  <c r="H29" i="10"/>
  <c r="H28" i="10"/>
  <c r="H27" i="10"/>
  <c r="H26" i="10"/>
  <c r="H25" i="10"/>
  <c r="H24" i="10"/>
  <c r="H23" i="10"/>
  <c r="H32" i="10" s="1"/>
  <c r="C16" i="10"/>
  <c r="G15" i="10"/>
  <c r="G16" i="10" s="1"/>
  <c r="F15" i="10"/>
  <c r="E15" i="10"/>
  <c r="E16" i="10" s="1"/>
  <c r="D15" i="10"/>
  <c r="D16" i="10" s="1"/>
  <c r="C15" i="10"/>
  <c r="B15" i="10"/>
  <c r="B16" i="10" s="1"/>
  <c r="G14" i="10"/>
  <c r="F14" i="10"/>
  <c r="F16" i="10" s="1"/>
  <c r="E14" i="10"/>
  <c r="D14" i="10"/>
  <c r="C14" i="10"/>
  <c r="B14" i="10"/>
  <c r="H13" i="10"/>
  <c r="H12" i="10"/>
  <c r="H11" i="10"/>
  <c r="H10" i="10"/>
  <c r="H9" i="10"/>
  <c r="H8" i="10"/>
  <c r="H7" i="10"/>
  <c r="H6" i="10"/>
  <c r="H5" i="10"/>
  <c r="H14" i="10" s="1"/>
  <c r="W32" i="9"/>
  <c r="V32" i="9"/>
  <c r="R32" i="9"/>
  <c r="W31" i="9"/>
  <c r="V31" i="9"/>
  <c r="R31" i="9"/>
  <c r="T31" i="9" s="1"/>
  <c r="U31" i="9" s="1"/>
  <c r="W30" i="9"/>
  <c r="V30" i="9"/>
  <c r="T30" i="9"/>
  <c r="R30" i="9"/>
  <c r="U30" i="9" s="1"/>
  <c r="W29" i="9"/>
  <c r="V29" i="9"/>
  <c r="R29" i="9"/>
  <c r="Y28" i="9"/>
  <c r="X28" i="9"/>
  <c r="W28" i="9"/>
  <c r="V28" i="9"/>
  <c r="U28" i="9"/>
  <c r="T28" i="9"/>
  <c r="R28" i="9"/>
  <c r="W27" i="9"/>
  <c r="V27" i="9"/>
  <c r="R27" i="9"/>
  <c r="T27" i="9" s="1"/>
  <c r="Y26" i="9"/>
  <c r="X26" i="9"/>
  <c r="W26" i="9"/>
  <c r="V26" i="9"/>
  <c r="U26" i="9"/>
  <c r="T26" i="9"/>
  <c r="R26" i="9"/>
  <c r="W25" i="9"/>
  <c r="V25" i="9"/>
  <c r="R25" i="9"/>
  <c r="W24" i="9"/>
  <c r="V24" i="9"/>
  <c r="T24" i="9"/>
  <c r="U24" i="9" s="1"/>
  <c r="R24" i="9"/>
  <c r="W23" i="9"/>
  <c r="V23" i="9"/>
  <c r="R23" i="9"/>
  <c r="T23" i="9" s="1"/>
  <c r="U23" i="9" s="1"/>
  <c r="W22" i="9"/>
  <c r="V22" i="9"/>
  <c r="T22" i="9"/>
  <c r="U22" i="9" s="1"/>
  <c r="R22" i="9"/>
  <c r="W21" i="9"/>
  <c r="V21" i="9"/>
  <c r="R21" i="9"/>
  <c r="T21" i="9" s="1"/>
  <c r="W20" i="9"/>
  <c r="V20" i="9"/>
  <c r="R20" i="9"/>
  <c r="Y19" i="9"/>
  <c r="X19" i="9"/>
  <c r="W19" i="9"/>
  <c r="V19" i="9"/>
  <c r="U19" i="9"/>
  <c r="T19" i="9"/>
  <c r="R19" i="9"/>
  <c r="W18" i="9"/>
  <c r="V18" i="9"/>
  <c r="R18" i="9"/>
  <c r="W17" i="9"/>
  <c r="V17" i="9"/>
  <c r="U17" i="9"/>
  <c r="Y17" i="9" s="1"/>
  <c r="T17" i="9"/>
  <c r="R17" i="9"/>
  <c r="W16" i="9"/>
  <c r="V16" i="9"/>
  <c r="R16" i="9"/>
  <c r="W15" i="9"/>
  <c r="V15" i="9"/>
  <c r="R15" i="9"/>
  <c r="T15" i="9" s="1"/>
  <c r="U15" i="9" s="1"/>
  <c r="W14" i="9"/>
  <c r="V14" i="9"/>
  <c r="T14" i="9"/>
  <c r="R14" i="9"/>
  <c r="U14" i="9" s="1"/>
  <c r="W13" i="9"/>
  <c r="V13" i="9"/>
  <c r="R13" i="9"/>
  <c r="Y12" i="9"/>
  <c r="X12" i="9"/>
  <c r="W12" i="9"/>
  <c r="V12" i="9"/>
  <c r="U12" i="9"/>
  <c r="T12" i="9"/>
  <c r="R12" i="9"/>
  <c r="W11" i="9"/>
  <c r="V11" i="9"/>
  <c r="R11" i="9"/>
  <c r="T11" i="9" s="1"/>
  <c r="Y10" i="9"/>
  <c r="X10" i="9"/>
  <c r="W10" i="9"/>
  <c r="V10" i="9"/>
  <c r="U10" i="9"/>
  <c r="T10" i="9"/>
  <c r="R10" i="9"/>
  <c r="W9" i="9"/>
  <c r="V9" i="9"/>
  <c r="R9" i="9"/>
  <c r="W8" i="9"/>
  <c r="V8" i="9"/>
  <c r="T8" i="9"/>
  <c r="U8" i="9" s="1"/>
  <c r="R8" i="9"/>
  <c r="W7" i="9"/>
  <c r="V7" i="9"/>
  <c r="R7" i="9"/>
  <c r="T7" i="9" s="1"/>
  <c r="U7" i="9" s="1"/>
  <c r="W6" i="9"/>
  <c r="V6" i="9"/>
  <c r="T6" i="9"/>
  <c r="U6" i="9" s="1"/>
  <c r="R6" i="9"/>
  <c r="W5" i="9"/>
  <c r="V5" i="9"/>
  <c r="R5" i="9"/>
  <c r="T5" i="9" s="1"/>
  <c r="W4" i="9"/>
  <c r="V4" i="9"/>
  <c r="R4" i="9"/>
  <c r="Y3" i="9"/>
  <c r="X3" i="9"/>
  <c r="W3" i="9"/>
  <c r="V3" i="9"/>
  <c r="U3" i="9"/>
  <c r="T3" i="9"/>
  <c r="R3" i="9"/>
  <c r="C22" i="8"/>
  <c r="B22" i="8"/>
  <c r="E22" i="8" s="1"/>
  <c r="F22" i="8" s="1"/>
  <c r="F21" i="8"/>
  <c r="E21" i="8"/>
  <c r="E20" i="8"/>
  <c r="F20" i="8" s="1"/>
  <c r="H19" i="8"/>
  <c r="F19" i="8"/>
  <c r="E19" i="8"/>
  <c r="E18" i="8"/>
  <c r="F18" i="8" s="1"/>
  <c r="C14" i="8"/>
  <c r="I14" i="8" s="1"/>
  <c r="H22" i="8" s="1"/>
  <c r="I13" i="8"/>
  <c r="H21" i="8" s="1"/>
  <c r="J21" i="8" s="1"/>
  <c r="G15" i="3" s="1"/>
  <c r="H13" i="8"/>
  <c r="G21" i="8" s="1"/>
  <c r="I21" i="8" s="1"/>
  <c r="G6" i="3" s="1"/>
  <c r="G13" i="8"/>
  <c r="F13" i="8"/>
  <c r="E13" i="8"/>
  <c r="D13" i="8"/>
  <c r="C13" i="8"/>
  <c r="G12" i="8"/>
  <c r="F12" i="8"/>
  <c r="E12" i="8"/>
  <c r="D12" i="8"/>
  <c r="H12" i="8" s="1"/>
  <c r="G20" i="8" s="1"/>
  <c r="C12" i="8"/>
  <c r="I12" i="8" s="1"/>
  <c r="H20" i="8" s="1"/>
  <c r="I11" i="8"/>
  <c r="G11" i="8"/>
  <c r="G14" i="8" s="1"/>
  <c r="F11" i="8"/>
  <c r="F14" i="8" s="1"/>
  <c r="E11" i="8"/>
  <c r="E14" i="8" s="1"/>
  <c r="D11" i="8"/>
  <c r="D14" i="8" s="1"/>
  <c r="C11" i="8"/>
  <c r="I10" i="8"/>
  <c r="H18" i="8" s="1"/>
  <c r="G10" i="8"/>
  <c r="F10" i="8"/>
  <c r="E10" i="8"/>
  <c r="H10" i="8" s="1"/>
  <c r="G18" i="8" s="1"/>
  <c r="E25" i="8" s="1"/>
  <c r="D10" i="8"/>
  <c r="C10" i="8"/>
  <c r="C21" i="7"/>
  <c r="B20" i="7"/>
  <c r="D20" i="7" s="1"/>
  <c r="B19" i="7"/>
  <c r="D19" i="7" s="1"/>
  <c r="D18" i="7"/>
  <c r="B18" i="7"/>
  <c r="B17" i="7"/>
  <c r="D17" i="7" s="1"/>
  <c r="E7" i="7"/>
  <c r="F7" i="7" s="1"/>
  <c r="N4" i="7" s="1"/>
  <c r="M6" i="7"/>
  <c r="M7" i="7" s="1"/>
  <c r="M8" i="7" s="1"/>
  <c r="F6" i="7"/>
  <c r="E6" i="7"/>
  <c r="M5" i="7"/>
  <c r="F5" i="7"/>
  <c r="L4" i="7" s="1"/>
  <c r="E5" i="7"/>
  <c r="M4" i="7"/>
  <c r="E4" i="7"/>
  <c r="F4" i="7" s="1"/>
  <c r="K4" i="7" s="1"/>
  <c r="M3" i="7"/>
  <c r="F3" i="7"/>
  <c r="J4" i="7" s="1"/>
  <c r="E3" i="7"/>
  <c r="E17" i="6"/>
  <c r="G17" i="6" s="1"/>
  <c r="G16" i="6"/>
  <c r="E16" i="6"/>
  <c r="E15" i="6"/>
  <c r="G15" i="6" s="1"/>
  <c r="I14" i="6"/>
  <c r="K14" i="6" s="1"/>
  <c r="E15" i="3" s="1"/>
  <c r="G14" i="6"/>
  <c r="E14" i="6"/>
  <c r="E13" i="6"/>
  <c r="G13" i="6" s="1"/>
  <c r="I12" i="6"/>
  <c r="E12" i="6"/>
  <c r="G12" i="6" s="1"/>
  <c r="E11" i="6"/>
  <c r="G11" i="6" s="1"/>
  <c r="F7" i="6"/>
  <c r="E7" i="6"/>
  <c r="D7" i="6"/>
  <c r="C7" i="6"/>
  <c r="G7" i="6" s="1"/>
  <c r="H7" i="6" s="1"/>
  <c r="H11" i="6" s="1"/>
  <c r="B7" i="6"/>
  <c r="I7" i="6" s="1"/>
  <c r="I11" i="6" s="1"/>
  <c r="I6" i="6"/>
  <c r="H6" i="6"/>
  <c r="H12" i="6" s="1"/>
  <c r="G6" i="6"/>
  <c r="F6" i="6"/>
  <c r="E6" i="6"/>
  <c r="D6" i="6"/>
  <c r="C6" i="6"/>
  <c r="B6" i="6"/>
  <c r="F5" i="6"/>
  <c r="E5" i="6"/>
  <c r="D5" i="6"/>
  <c r="C5" i="6"/>
  <c r="G5" i="6" s="1"/>
  <c r="H5" i="6" s="1"/>
  <c r="H13" i="6" s="1"/>
  <c r="B5" i="6"/>
  <c r="I5" i="6" s="1"/>
  <c r="I13" i="6" s="1"/>
  <c r="I4" i="6"/>
  <c r="H4" i="6"/>
  <c r="H14" i="6" s="1"/>
  <c r="J14" i="6" s="1"/>
  <c r="E6" i="3" s="1"/>
  <c r="G4" i="6"/>
  <c r="F4" i="6"/>
  <c r="F3" i="6" s="1"/>
  <c r="E4" i="6"/>
  <c r="D4" i="6"/>
  <c r="C4" i="6"/>
  <c r="B4" i="6"/>
  <c r="E3" i="6"/>
  <c r="D3" i="6"/>
  <c r="C3" i="6"/>
  <c r="B3" i="6"/>
  <c r="I3" i="6" s="1"/>
  <c r="I15" i="6" s="1"/>
  <c r="B14" i="5"/>
  <c r="F13" i="5"/>
  <c r="D12" i="3" s="1"/>
  <c r="D13" i="5"/>
  <c r="P7" i="5"/>
  <c r="Q7" i="5" s="1"/>
  <c r="K7" i="5"/>
  <c r="J7" i="5"/>
  <c r="E7" i="5"/>
  <c r="D7" i="5"/>
  <c r="D10" i="5" s="1"/>
  <c r="Q6" i="5"/>
  <c r="P6" i="5"/>
  <c r="K6" i="5"/>
  <c r="J6" i="5"/>
  <c r="D6" i="5"/>
  <c r="E6" i="5" s="1"/>
  <c r="P5" i="5"/>
  <c r="Q5" i="5" s="1"/>
  <c r="J5" i="5"/>
  <c r="K5" i="5" s="1"/>
  <c r="D5" i="5"/>
  <c r="D8" i="5" s="1"/>
  <c r="E8" i="5" s="1"/>
  <c r="C15" i="5" s="1"/>
  <c r="E15" i="5" s="1"/>
  <c r="D5" i="3" s="1"/>
  <c r="Q4" i="5"/>
  <c r="P4" i="5"/>
  <c r="P8" i="5" s="1"/>
  <c r="Q8" i="5" s="1"/>
  <c r="C13" i="5" s="1"/>
  <c r="K4" i="5"/>
  <c r="J4" i="5"/>
  <c r="J8" i="5" s="1"/>
  <c r="K8" i="5" s="1"/>
  <c r="C14" i="5" s="1"/>
  <c r="E4" i="5"/>
  <c r="D4" i="5"/>
  <c r="Q3" i="5"/>
  <c r="P3" i="5"/>
  <c r="J3" i="5"/>
  <c r="K3" i="5" s="1"/>
  <c r="D14" i="5" s="1"/>
  <c r="D3" i="5"/>
  <c r="E3" i="5" s="1"/>
  <c r="D15" i="5" s="1"/>
  <c r="F15" i="5" s="1"/>
  <c r="D14" i="3" s="1"/>
  <c r="B25" i="4"/>
  <c r="AB12" i="4"/>
  <c r="AC12" i="4" s="1"/>
  <c r="V12" i="4"/>
  <c r="W12" i="4" s="1"/>
  <c r="P12" i="4"/>
  <c r="Q12" i="4" s="1"/>
  <c r="K12" i="4"/>
  <c r="J12" i="4"/>
  <c r="E12" i="4"/>
  <c r="D12" i="4"/>
  <c r="AB11" i="4"/>
  <c r="AC11" i="4" s="1"/>
  <c r="V11" i="4"/>
  <c r="W11" i="4" s="1"/>
  <c r="P11" i="4"/>
  <c r="Q11" i="4" s="1"/>
  <c r="J11" i="4"/>
  <c r="K11" i="4" s="1"/>
  <c r="D11" i="4"/>
  <c r="E11" i="4" s="1"/>
  <c r="AB10" i="4"/>
  <c r="AC10" i="4" s="1"/>
  <c r="W10" i="4"/>
  <c r="V10" i="4"/>
  <c r="Q10" i="4"/>
  <c r="P10" i="4"/>
  <c r="J10" i="4"/>
  <c r="K10" i="4" s="1"/>
  <c r="D10" i="4"/>
  <c r="E10" i="4" s="1"/>
  <c r="AB9" i="4"/>
  <c r="AC9" i="4" s="1"/>
  <c r="V9" i="4"/>
  <c r="V13" i="4" s="1"/>
  <c r="W13" i="4" s="1"/>
  <c r="C24" i="4" s="1"/>
  <c r="E24" i="4" s="1"/>
  <c r="C6" i="3" s="1"/>
  <c r="P9" i="4"/>
  <c r="Q9" i="4" s="1"/>
  <c r="J9" i="4"/>
  <c r="J13" i="4" s="1"/>
  <c r="K13" i="4" s="1"/>
  <c r="C22" i="4" s="1"/>
  <c r="E22" i="4" s="1"/>
  <c r="C4" i="3" s="1"/>
  <c r="E9" i="4"/>
  <c r="D9" i="4"/>
  <c r="D13" i="4" s="1"/>
  <c r="E13" i="4" s="1"/>
  <c r="C21" i="4" s="1"/>
  <c r="AC8" i="4"/>
  <c r="D25" i="4" s="1"/>
  <c r="AB8" i="4"/>
  <c r="V8" i="4"/>
  <c r="W8" i="4" s="1"/>
  <c r="D24" i="4" s="1"/>
  <c r="F24" i="4" s="1"/>
  <c r="C15" i="3" s="1"/>
  <c r="P8" i="4"/>
  <c r="Q8" i="4" s="1"/>
  <c r="D23" i="4" s="1"/>
  <c r="F23" i="4" s="1"/>
  <c r="C14" i="3" s="1"/>
  <c r="J8" i="4"/>
  <c r="K8" i="4" s="1"/>
  <c r="D22" i="4" s="1"/>
  <c r="F22" i="4" s="1"/>
  <c r="C13" i="3" s="1"/>
  <c r="D8" i="4"/>
  <c r="E8" i="4" s="1"/>
  <c r="D21" i="4" s="1"/>
  <c r="F21" i="4" s="1"/>
  <c r="C12" i="3" s="1"/>
  <c r="D23" i="2"/>
  <c r="D22" i="2"/>
  <c r="D21" i="2"/>
  <c r="D19" i="2" s="1"/>
  <c r="D20" i="2"/>
  <c r="G8" i="2"/>
  <c r="F8" i="2"/>
  <c r="L6" i="2"/>
  <c r="L7" i="2" s="1"/>
  <c r="L8" i="2" s="1"/>
  <c r="L5" i="2"/>
  <c r="L4" i="2"/>
  <c r="K4" i="2"/>
  <c r="K5" i="2" s="1"/>
  <c r="K6" i="2" s="1"/>
  <c r="K7" i="2" s="1"/>
  <c r="K8" i="2" s="1"/>
  <c r="J18" i="8" l="1"/>
  <c r="G12" i="3" s="1"/>
  <c r="I18" i="8"/>
  <c r="G3" i="3" s="1"/>
  <c r="D17" i="5"/>
  <c r="F17" i="5" s="1"/>
  <c r="D16" i="3" s="1"/>
  <c r="I20" i="8"/>
  <c r="G5" i="3" s="1"/>
  <c r="J20" i="8"/>
  <c r="G14" i="3" s="1"/>
  <c r="U13" i="9"/>
  <c r="Y24" i="9"/>
  <c r="X24" i="9"/>
  <c r="N5" i="7"/>
  <c r="N6" i="7" s="1"/>
  <c r="N7" i="7" s="1"/>
  <c r="N8" i="7" s="1"/>
  <c r="N3" i="7"/>
  <c r="D21" i="6"/>
  <c r="Q4" i="7"/>
  <c r="F18" i="7" s="1"/>
  <c r="H18" i="7" s="1"/>
  <c r="F13" i="3" s="1"/>
  <c r="J5" i="7"/>
  <c r="J3" i="7"/>
  <c r="Q3" i="7" s="1"/>
  <c r="F17" i="7" s="1"/>
  <c r="H17" i="7" s="1"/>
  <c r="F12" i="3" s="1"/>
  <c r="U29" i="9"/>
  <c r="D18" i="2"/>
  <c r="K15" i="6"/>
  <c r="E16" i="3" s="1"/>
  <c r="J22" i="8"/>
  <c r="G16" i="3" s="1"/>
  <c r="I22" i="8"/>
  <c r="G7" i="3" s="1"/>
  <c r="Y6" i="9"/>
  <c r="X6" i="9"/>
  <c r="H69" i="10"/>
  <c r="K5" i="7"/>
  <c r="K3" i="7"/>
  <c r="O3" i="7" s="1"/>
  <c r="P3" i="7" s="1"/>
  <c r="E17" i="7" s="1"/>
  <c r="E24" i="7" s="1"/>
  <c r="O4" i="7"/>
  <c r="P4" i="7" s="1"/>
  <c r="E18" i="7" s="1"/>
  <c r="G18" i="7" s="1"/>
  <c r="F4" i="3" s="1"/>
  <c r="Y14" i="9"/>
  <c r="X14" i="9"/>
  <c r="Y22" i="9"/>
  <c r="X22" i="9"/>
  <c r="G23" i="2"/>
  <c r="U25" i="9"/>
  <c r="E23" i="2"/>
  <c r="K9" i="2"/>
  <c r="D16" i="5"/>
  <c r="F16" i="5" s="1"/>
  <c r="D15" i="3" s="1"/>
  <c r="Y30" i="9"/>
  <c r="X30" i="9"/>
  <c r="C16" i="5"/>
  <c r="E16" i="5" s="1"/>
  <c r="D6" i="3" s="1"/>
  <c r="C19" i="5"/>
  <c r="E13" i="5"/>
  <c r="D3" i="3" s="1"/>
  <c r="C17" i="5"/>
  <c r="E17" i="5" s="1"/>
  <c r="D7" i="3" s="1"/>
  <c r="K11" i="6"/>
  <c r="E12" i="3" s="1"/>
  <c r="J11" i="6"/>
  <c r="E3" i="3" s="1"/>
  <c r="Y7" i="9"/>
  <c r="X7" i="9"/>
  <c r="L9" i="2"/>
  <c r="F23" i="2"/>
  <c r="H23" i="2" s="1"/>
  <c r="F14" i="5"/>
  <c r="D13" i="3" s="1"/>
  <c r="J12" i="6"/>
  <c r="E4" i="3" s="1"/>
  <c r="K12" i="6"/>
  <c r="E13" i="3" s="1"/>
  <c r="L5" i="7"/>
  <c r="L6" i="7" s="1"/>
  <c r="L7" i="7" s="1"/>
  <c r="L8" i="7" s="1"/>
  <c r="L3" i="7"/>
  <c r="Y23" i="9"/>
  <c r="X23" i="9"/>
  <c r="U16" i="9"/>
  <c r="X15" i="9"/>
  <c r="Y15" i="9"/>
  <c r="E21" i="4"/>
  <c r="C3" i="3" s="1"/>
  <c r="C29" i="4"/>
  <c r="G3" i="6"/>
  <c r="H3" i="6" s="1"/>
  <c r="H15" i="6" s="1"/>
  <c r="J15" i="6" s="1"/>
  <c r="E7" i="3" s="1"/>
  <c r="J13" i="6"/>
  <c r="E5" i="3" s="1"/>
  <c r="K13" i="6"/>
  <c r="E14" i="3" s="1"/>
  <c r="X31" i="9"/>
  <c r="Y31" i="9"/>
  <c r="H14" i="8"/>
  <c r="G22" i="8" s="1"/>
  <c r="Y8" i="9"/>
  <c r="X8" i="9"/>
  <c r="K9" i="4"/>
  <c r="J19" i="8"/>
  <c r="G13" i="3" s="1"/>
  <c r="U11" i="9"/>
  <c r="T18" i="9"/>
  <c r="U18" i="9" s="1"/>
  <c r="U27" i="9"/>
  <c r="W9" i="4"/>
  <c r="T9" i="9"/>
  <c r="U9" i="9" s="1"/>
  <c r="T25" i="9"/>
  <c r="P13" i="4"/>
  <c r="Q13" i="4" s="1"/>
  <c r="C23" i="4" s="1"/>
  <c r="E23" i="4" s="1"/>
  <c r="C5" i="3" s="1"/>
  <c r="U5" i="9"/>
  <c r="U21" i="9"/>
  <c r="H33" i="10"/>
  <c r="H34" i="10" s="1"/>
  <c r="E69" i="10"/>
  <c r="E14" i="5"/>
  <c r="D4" i="3" s="1"/>
  <c r="H15" i="10"/>
  <c r="H16" i="10" s="1"/>
  <c r="AB13" i="4"/>
  <c r="AC13" i="4" s="1"/>
  <c r="C25" i="4" s="1"/>
  <c r="E25" i="4" s="1"/>
  <c r="C7" i="3" s="1"/>
  <c r="B21" i="7"/>
  <c r="D21" i="7" s="1"/>
  <c r="T13" i="9"/>
  <c r="X17" i="9"/>
  <c r="T29" i="9"/>
  <c r="H50" i="10"/>
  <c r="H52" i="10" s="1"/>
  <c r="T4" i="9"/>
  <c r="U4" i="9" s="1"/>
  <c r="T20" i="9"/>
  <c r="U20" i="9" s="1"/>
  <c r="H11" i="8"/>
  <c r="G19" i="8" s="1"/>
  <c r="I19" i="8" s="1"/>
  <c r="G4" i="3" s="1"/>
  <c r="F25" i="4"/>
  <c r="C16" i="3" s="1"/>
  <c r="E5" i="5"/>
  <c r="T16" i="9"/>
  <c r="T32" i="9"/>
  <c r="U32" i="9" s="1"/>
  <c r="Y18" i="9" l="1"/>
  <c r="X18" i="9"/>
  <c r="Y32" i="9"/>
  <c r="X32" i="9"/>
  <c r="Y4" i="9"/>
  <c r="X4" i="9"/>
  <c r="Y20" i="9"/>
  <c r="X20" i="9"/>
  <c r="X9" i="9"/>
  <c r="Y9" i="9"/>
  <c r="Y33" i="9"/>
  <c r="X13" i="9"/>
  <c r="X33" i="9" s="1"/>
  <c r="Y13" i="9"/>
  <c r="L10" i="2"/>
  <c r="F22" i="2"/>
  <c r="H22" i="2" s="1"/>
  <c r="B16" i="3" s="1"/>
  <c r="Y27" i="9"/>
  <c r="Y37" i="9" s="1"/>
  <c r="X27" i="9"/>
  <c r="X37" i="9"/>
  <c r="X25" i="9"/>
  <c r="Y25" i="9"/>
  <c r="Y29" i="9"/>
  <c r="X29" i="9"/>
  <c r="Y16" i="9"/>
  <c r="X16" i="9"/>
  <c r="Q5" i="7"/>
  <c r="F19" i="7" s="1"/>
  <c r="H19" i="7" s="1"/>
  <c r="F14" i="3" s="1"/>
  <c r="J6" i="7"/>
  <c r="Y11" i="9"/>
  <c r="Y36" i="9" s="1"/>
  <c r="X11" i="9"/>
  <c r="X36" i="9" s="1"/>
  <c r="O5" i="7"/>
  <c r="P5" i="7" s="1"/>
  <c r="E19" i="7" s="1"/>
  <c r="G19" i="7" s="1"/>
  <c r="F5" i="3" s="1"/>
  <c r="K6" i="7"/>
  <c r="Y21" i="9"/>
  <c r="X21" i="9"/>
  <c r="Y5" i="9"/>
  <c r="Y35" i="9" s="1"/>
  <c r="X5" i="9"/>
  <c r="X35" i="9" s="1"/>
  <c r="G17" i="7"/>
  <c r="F3" i="3" s="1"/>
  <c r="K10" i="2"/>
  <c r="E22" i="2"/>
  <c r="G22" i="2" s="1"/>
  <c r="B7" i="3" s="1"/>
  <c r="J7" i="7" l="1"/>
  <c r="Q6" i="7"/>
  <c r="F20" i="7" s="1"/>
  <c r="H20" i="7" s="1"/>
  <c r="F15" i="3" s="1"/>
  <c r="E21" i="2"/>
  <c r="G21" i="2" s="1"/>
  <c r="B6" i="3" s="1"/>
  <c r="K11" i="2"/>
  <c r="X34" i="9"/>
  <c r="Y34" i="9"/>
  <c r="F21" i="2"/>
  <c r="H21" i="2" s="1"/>
  <c r="B15" i="3" s="1"/>
  <c r="H15" i="3" s="1"/>
  <c r="L11" i="2"/>
  <c r="K7" i="7"/>
  <c r="O6" i="7"/>
  <c r="P6" i="7" s="1"/>
  <c r="E20" i="7" s="1"/>
  <c r="G20" i="7" s="1"/>
  <c r="F6" i="3" s="1"/>
  <c r="K12" i="2" l="1"/>
  <c r="E20" i="2"/>
  <c r="G20" i="2" s="1"/>
  <c r="B5" i="3" s="1"/>
  <c r="H5" i="3" s="1"/>
  <c r="O7" i="7"/>
  <c r="K8" i="7"/>
  <c r="L12" i="2"/>
  <c r="F20" i="2"/>
  <c r="H20" i="2" s="1"/>
  <c r="B14" i="3" s="1"/>
  <c r="H14" i="3" s="1"/>
  <c r="H6" i="3"/>
  <c r="J8" i="7"/>
  <c r="Q7" i="7"/>
  <c r="Q8" i="7" l="1"/>
  <c r="F21" i="7"/>
  <c r="H21" i="7" s="1"/>
  <c r="F16" i="3" s="1"/>
  <c r="H16" i="3" s="1"/>
  <c r="L13" i="2"/>
  <c r="F18" i="2" s="1"/>
  <c r="H18" i="2" s="1"/>
  <c r="B12" i="3" s="1"/>
  <c r="H12" i="3" s="1"/>
  <c r="F19" i="2"/>
  <c r="H19" i="2" s="1"/>
  <c r="B13" i="3" s="1"/>
  <c r="H13" i="3" s="1"/>
  <c r="O8" i="7"/>
  <c r="P7" i="7"/>
  <c r="K13" i="2"/>
  <c r="E18" i="2" s="1"/>
  <c r="E19" i="2"/>
  <c r="G19" i="2" s="1"/>
  <c r="B4" i="3" s="1"/>
  <c r="H4" i="3" s="1"/>
  <c r="P8" i="7" l="1"/>
  <c r="E21" i="7"/>
  <c r="G21" i="7" s="1"/>
  <c r="F7" i="3" s="1"/>
  <c r="H7" i="3" s="1"/>
  <c r="E25" i="2"/>
  <c r="G18" i="2"/>
  <c r="B3" i="3" s="1"/>
  <c r="H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1" authorId="0" shapeId="0" xr:uid="{00000000-0006-0000-0500-000001000000}">
      <text>
        <r>
          <rPr>
            <sz val="10"/>
            <rFont val="Arial"/>
            <family val="2"/>
          </rPr>
          <t xml:space="preserve">usuario:
del 2022 al 2024 el precio kwh fue estimado mediante La tasa de crecimiento anual compuesta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2" authorId="0" shapeId="0" xr:uid="{00000000-0006-0000-0700-000001000000}">
      <text>
        <r>
          <rPr>
            <sz val="10"/>
            <rFont val="Arial"/>
            <family val="2"/>
          </rPr>
          <t>CORRECCION (auditoria): B3:K6 = ingreso PER CAPITA mensual por decil en balboas.
Formula: (participacion del decil %/100) x 10 x (ingreso promedio mensual del hogar / 3).
Participaciones por decil: CEPALSTAT ind. 3305, BADEHOG, area Nacional (archivo data_1784243170).
Ingreso promedio mensual del hogar: 2022=B/.1,395.87 y 2023=B/.1,403.36 (MEF, 'Pobreza y distribucion del ingreso de los hogares 2022-2023', oct-2024, con base en encuestas INEC; www.mef.gob.pa). 2021=B/.1,388.38 y 2024=B/.1,410.85 estimados por tendencia lineal de los dos anclajes oficiales (misma logica FORECAST.LINEAR que ya usa la hoja).
El divisor 3 corresponde al tamano de hogar implicito en las formulas existentes (x3): el ingreso de hogar resultante reproduce el promedio oficial del MEF.
ERROR ANTERIOR: los valores eran participacion% x 103.60, donde 10360 es el notes_id de CEPALSTAT (nota 'Marzo'), un identificador, no un valor monetario.</t>
        </r>
      </text>
    </comment>
    <comment ref="C9" authorId="0" shapeId="0" xr:uid="{00000000-0006-0000-0700-000002000000}">
      <text>
        <r>
          <rPr>
            <sz val="10"/>
            <rFont val="Arial"/>
            <family val="2"/>
          </rPr>
          <t>CORRECCION: Quintil 2 = deciles 3-4 y Quintil 3 = deciles 5-6. Las formulas originales usaban deciles 4-5 y 6-7 (corrimiento que contaba dos veces el decil 7 entre Q3 y Q4 y omitia el decil 3). Solo se corrigio el rango dentro de cada formula; ninguna celda cambio de posicion.</t>
        </r>
      </text>
    </comment>
  </commentList>
</comments>
</file>

<file path=xl/sharedStrings.xml><?xml version="1.0" encoding="utf-8"?>
<sst xmlns="http://schemas.openxmlformats.org/spreadsheetml/2006/main" count="571" uniqueCount="164">
  <si>
    <t>Año</t>
  </si>
  <si>
    <t>DESELECTRIFICACION</t>
  </si>
  <si>
    <t>%</t>
  </si>
  <si>
    <t>Costa Rica</t>
  </si>
  <si>
    <t>El Salvador</t>
  </si>
  <si>
    <t>Guatemala</t>
  </si>
  <si>
    <t>Honduras</t>
  </si>
  <si>
    <t>Nicaragua</t>
  </si>
  <si>
    <t>Panamá</t>
  </si>
  <si>
    <t>TOTAL</t>
  </si>
  <si>
    <t>% de reajuste salarial en Nicaragua</t>
  </si>
  <si>
    <t>Ingresos</t>
  </si>
  <si>
    <t xml:space="preserve">Salario </t>
  </si>
  <si>
    <t xml:space="preserve">No pobres </t>
  </si>
  <si>
    <t>29% más pobres</t>
  </si>
  <si>
    <t>% Incremento</t>
  </si>
  <si>
    <t>Salario anual con Ajuste NP</t>
  </si>
  <si>
    <t>Salario anual con Ajuste 29+ pobres</t>
  </si>
  <si>
    <t xml:space="preserve">Agricola </t>
  </si>
  <si>
    <t>no agricola</t>
  </si>
  <si>
    <t xml:space="preserve">cuenta propia </t>
  </si>
  <si>
    <t xml:space="preserve">PROMEDIO </t>
  </si>
  <si>
    <t>AÑO</t>
  </si>
  <si>
    <t>DICIEMBRE</t>
  </si>
  <si>
    <t>Ingreso total (cord)</t>
  </si>
  <si>
    <t xml:space="preserve">cargo medio </t>
  </si>
  <si>
    <t>Salario anual NP</t>
  </si>
  <si>
    <t>Salario anual 29+P</t>
  </si>
  <si>
    <t>% Ingreso destinado al pago de electricidad Np</t>
  </si>
  <si>
    <t>% Ingreso destinado al pago de electricidad 29+P</t>
  </si>
  <si>
    <t xml:space="preserve">% DE INGRESOS DESTINADOS AL PAGO DE ENERGIA ELECTRICA PROMEDIO </t>
  </si>
  <si>
    <t xml:space="preserve">Año </t>
  </si>
  <si>
    <t>NIC</t>
  </si>
  <si>
    <t>CR</t>
  </si>
  <si>
    <t>HD</t>
  </si>
  <si>
    <t>ES</t>
  </si>
  <si>
    <t>GUA</t>
  </si>
  <si>
    <t>PAN</t>
  </si>
  <si>
    <t>% DE INGRESOS DESTINADOS AL PAGO DE ENERGIA ELECTRICA 20%+P</t>
  </si>
  <si>
    <t>Quintil</t>
  </si>
  <si>
    <t>ingreso promedio Total</t>
  </si>
  <si>
    <t>Ingreso promedio (Salario y cuenta autonoma)</t>
  </si>
  <si>
    <t xml:space="preserve">Ingreso anual </t>
  </si>
  <si>
    <t>Quintil I</t>
  </si>
  <si>
    <t>Quintil II</t>
  </si>
  <si>
    <t>Quintil III</t>
  </si>
  <si>
    <t>Quintil IV</t>
  </si>
  <si>
    <t>Quintil V</t>
  </si>
  <si>
    <t>Promedio NP</t>
  </si>
  <si>
    <t xml:space="preserve">año </t>
  </si>
  <si>
    <t xml:space="preserve">Cargo medio </t>
  </si>
  <si>
    <t>Salario anual 20+ P</t>
  </si>
  <si>
    <t>% Destinado al pago de electricidad NP</t>
  </si>
  <si>
    <t>% Destinado al pago de electricidad 20+ P</t>
  </si>
  <si>
    <t>Ingreso por hogar</t>
  </si>
  <si>
    <t>porcentaje (en miles) del salario y cuenta autonoma</t>
  </si>
  <si>
    <t>Salario y cuenta autonoma</t>
  </si>
  <si>
    <t>Ingreso Anual</t>
  </si>
  <si>
    <t>Quintil 1</t>
  </si>
  <si>
    <t>Quintil 2</t>
  </si>
  <si>
    <t>Quintil 3</t>
  </si>
  <si>
    <t>Quintil 4</t>
  </si>
  <si>
    <t>Quintil 5</t>
  </si>
  <si>
    <t>Q1_Total</t>
  </si>
  <si>
    <t>Q2_Total</t>
  </si>
  <si>
    <t>Q3_Total</t>
  </si>
  <si>
    <t>Q4_Total</t>
  </si>
  <si>
    <t>Q5_Total</t>
  </si>
  <si>
    <t>Promedio NP anual</t>
  </si>
  <si>
    <t xml:space="preserve"> Q1 Anual</t>
  </si>
  <si>
    <t>Ventas (KWH)</t>
  </si>
  <si>
    <t>Precio (Dolares/KWh)</t>
  </si>
  <si>
    <t>Clientes</t>
  </si>
  <si>
    <t>Cargo medio</t>
  </si>
  <si>
    <t>% destinado NP</t>
  </si>
  <si>
    <t>% destinado Q1</t>
  </si>
  <si>
    <t>2022-2023</t>
  </si>
  <si>
    <t xml:space="preserve">Deciles </t>
  </si>
  <si>
    <t>Ingreso corriente total mensual</t>
  </si>
  <si>
    <t>Quintiles</t>
  </si>
  <si>
    <t xml:space="preserve">Ingreso corriente por diversos tipos de trabajo </t>
  </si>
  <si>
    <t>año</t>
  </si>
  <si>
    <t>Inflación %</t>
  </si>
  <si>
    <t>I</t>
  </si>
  <si>
    <t>II</t>
  </si>
  <si>
    <t>III</t>
  </si>
  <si>
    <t>IV</t>
  </si>
  <si>
    <t>V</t>
  </si>
  <si>
    <t>Ingreso prom NP</t>
  </si>
  <si>
    <t>Ingreso anual Np</t>
  </si>
  <si>
    <t>Ingreso anual 20+P</t>
  </si>
  <si>
    <t>VI</t>
  </si>
  <si>
    <t>VII</t>
  </si>
  <si>
    <t>VIII</t>
  </si>
  <si>
    <t>IX</t>
  </si>
  <si>
    <t>X</t>
  </si>
  <si>
    <t>Ingresos social</t>
  </si>
  <si>
    <t>clientes social</t>
  </si>
  <si>
    <t>Ingreso Anual 20+P</t>
  </si>
  <si>
    <t>Decil 1</t>
  </si>
  <si>
    <t>Decil 2</t>
  </si>
  <si>
    <t>Decil 3</t>
  </si>
  <si>
    <t>Decil 4</t>
  </si>
  <si>
    <t>Decil 5</t>
  </si>
  <si>
    <t>Decil 6</t>
  </si>
  <si>
    <t>Decil 7</t>
  </si>
  <si>
    <t>Decil 8</t>
  </si>
  <si>
    <t>Decil 9</t>
  </si>
  <si>
    <t>Decil 10</t>
  </si>
  <si>
    <t>Ingreso anual NP</t>
  </si>
  <si>
    <t>Ingreso Anual Q1</t>
  </si>
  <si>
    <t xml:space="preserve">Ventas </t>
  </si>
  <si>
    <t xml:space="preserve">Precio medio </t>
  </si>
  <si>
    <t>Ingresos en Balboas</t>
  </si>
  <si>
    <t>País</t>
  </si>
  <si>
    <t>Gen. Hidroeléctrica (GWh)</t>
  </si>
  <si>
    <t>Gen. Geotérmica (GWh)</t>
  </si>
  <si>
    <t>Gen. Eólica (GWh)</t>
  </si>
  <si>
    <t>Gen. Solar (GWh)</t>
  </si>
  <si>
    <t>Gen. Biomasa (GWh)</t>
  </si>
  <si>
    <t>SUMA
RENOVABLE
(GWh)</t>
  </si>
  <si>
    <t>Gen. Térmica Fósil (GWh)</t>
  </si>
  <si>
    <t>GEN TOTAL (GWh)</t>
  </si>
  <si>
    <t>% DE EN. RENOVABLE</t>
  </si>
  <si>
    <t>% DE ELECTRIFICACION RURAL</t>
  </si>
  <si>
    <t>% ELECTRIFICACION URBANA</t>
  </si>
  <si>
    <t>% de hogares con acceso a energia renovable rural</t>
  </si>
  <si>
    <t>% de hogares con acceso a energia renovable urbana</t>
  </si>
  <si>
    <t>Descripción</t>
  </si>
  <si>
    <t>Unidad</t>
  </si>
  <si>
    <t>Tasa de electrificación total</t>
  </si>
  <si>
    <t>Rural</t>
  </si>
  <si>
    <t>Urbana</t>
  </si>
  <si>
    <t>TOTAL SIEPAC</t>
  </si>
  <si>
    <t xml:space="preserve">capacidaad instalada </t>
  </si>
  <si>
    <t>La capacidad de generación disponible en los países del MER 2024</t>
  </si>
  <si>
    <t xml:space="preserve">Recurso </t>
  </si>
  <si>
    <t xml:space="preserve">Guatemala </t>
  </si>
  <si>
    <t xml:space="preserve">Honduras </t>
  </si>
  <si>
    <t xml:space="preserve">Panamá </t>
  </si>
  <si>
    <t>Total CA</t>
  </si>
  <si>
    <t>Hidroelectrico</t>
  </si>
  <si>
    <t>Solar FV</t>
  </si>
  <si>
    <t>Eólico</t>
  </si>
  <si>
    <t>Generacion Distribuida</t>
  </si>
  <si>
    <t>Geotermico</t>
  </si>
  <si>
    <t xml:space="preserve">Biomasa </t>
  </si>
  <si>
    <t>Gas Natural</t>
  </si>
  <si>
    <t xml:space="preserve">Carbón </t>
  </si>
  <si>
    <t>Fuel oil</t>
  </si>
  <si>
    <t>Total/ recurso</t>
  </si>
  <si>
    <t>Total renovable</t>
  </si>
  <si>
    <t>% de energia renovable</t>
  </si>
  <si>
    <t>La capacidad de generación disponible en los países del MER 2023</t>
  </si>
  <si>
    <t>total renovable</t>
  </si>
  <si>
    <t>La capacidad de generación disponible en los países del MER 2022</t>
  </si>
  <si>
    <t>% de energía renovable</t>
  </si>
  <si>
    <t>La capacidad de generación disponible en los países del MER 2021</t>
  </si>
  <si>
    <t>La capacidad de generación disponible en los países del MER 2020</t>
  </si>
  <si>
    <t>2021</t>
  </si>
  <si>
    <t>Nacional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</si>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</sst>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* #,##0.00_);_(* \(#,##0.00\);_(* \-??_);_(@_)"/>
    <numFmt numFmtId="165" formatCode="_-[$C$-4C0A]* #,##0.00_-;\-[$C$-4C0A]* #,##0.00_-;_-[$C$-4C0A]* \-??_-;_-@_-"/>
    <numFmt numFmtId="166" formatCode="&quot;C$&quot;#,##0.00"/>
    <numFmt numFmtId="167" formatCode="[$₡-140A]#,##0.00"/>
    <numFmt numFmtId="168" formatCode="_-* #,##0.00_-;\-* #,##0.00_-;_-* \-??_-;_-@_-"/>
    <numFmt numFmtId="169" formatCode="_(\$* #,##0.00_);_(\$* \(#,##0.00\);_(\$* \-??_);_(@_)"/>
    <numFmt numFmtId="170" formatCode="_-[$₡-140A]* #,##0.00_-;\-[$₡-140A]* #,##0.00_-;_-[$₡-140A]* \-??_-;_-@_-"/>
    <numFmt numFmtId="171" formatCode="0.000"/>
    <numFmt numFmtId="172" formatCode="0.0"/>
    <numFmt numFmtId="173" formatCode="0.0000"/>
    <numFmt numFmtId="174" formatCode="0.000000"/>
    <numFmt numFmtId="175" formatCode="0.00000"/>
  </numFmts>
  <fonts count="7" x14ac:knownFonts="1">
    <font>
      <sz val="11"/>
      <color theme="1"/>
      <name val="Calibri"/>
      <family val="2"/>
      <charset val="1"/>
    </font>
    <font>
      <sz val="8"/>
      <name val="Arial"/>
      <family val="2"/>
      <charset val="1"/>
    </font>
    <font>
      <sz val="10"/>
      <color theme="1"/>
      <name val="Arial"/>
      <family val="2"/>
      <charset val="1"/>
    </font>
    <font>
      <sz val="10"/>
      <name val="Arial"/>
      <family val="2"/>
    </font>
    <font>
      <b/>
      <sz val="11"/>
      <color rgb="FFFFFFFF"/>
      <name val="Montserrat"/>
      <charset val="1"/>
    </font>
    <font>
      <sz val="10"/>
      <color theme="1"/>
      <name val="Roboto"/>
      <charset val="1"/>
    </font>
    <font>
      <sz val="11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59987182226020086"/>
        <bgColor rgb="FFCCCCFF"/>
      </patternFill>
    </fill>
    <fill>
      <patternFill patternType="solid">
        <fgColor theme="4" tint="0.39988402966399123"/>
        <bgColor rgb="FF969696"/>
      </patternFill>
    </fill>
    <fill>
      <patternFill patternType="solid">
        <fgColor theme="0"/>
        <bgColor rgb="FFF8F8FF"/>
      </patternFill>
    </fill>
    <fill>
      <patternFill patternType="solid">
        <fgColor rgb="FF003366"/>
        <bgColor rgb="FF333399"/>
      </patternFill>
    </fill>
    <fill>
      <patternFill patternType="solid">
        <fgColor rgb="FFF8F8FF"/>
        <bgColor rgb="FFFFFFFF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164" fontId="6" fillId="0" borderId="0"/>
    <xf numFmtId="169" fontId="6" fillId="0" borderId="0"/>
    <xf numFmtId="9" fontId="6" fillId="0" borderId="0"/>
    <xf numFmtId="164" fontId="1" fillId="0" borderId="0"/>
    <xf numFmtId="0" fontId="1" fillId="0" borderId="0"/>
  </cellStyleXfs>
  <cellXfs count="93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165" fontId="0" fillId="0" borderId="1" xfId="0" applyNumberFormat="1" applyBorder="1"/>
    <xf numFmtId="0" fontId="0" fillId="0" borderId="2" xfId="0" applyBorder="1"/>
    <xf numFmtId="166" fontId="0" fillId="0" borderId="1" xfId="0" applyNumberFormat="1" applyBorder="1" applyAlignment="1">
      <alignment horizontal="center"/>
    </xf>
    <xf numFmtId="165" fontId="0" fillId="2" borderId="1" xfId="0" applyNumberFormat="1" applyFill="1" applyBorder="1"/>
    <xf numFmtId="0" fontId="0" fillId="2" borderId="1" xfId="0" applyFill="1" applyBorder="1" applyAlignment="1">
      <alignment wrapText="1"/>
    </xf>
    <xf numFmtId="166" fontId="0" fillId="0" borderId="1" xfId="0" applyNumberFormat="1" applyBorder="1"/>
    <xf numFmtId="3" fontId="0" fillId="0" borderId="1" xfId="0" applyNumberFormat="1" applyBorder="1"/>
    <xf numFmtId="4" fontId="0" fillId="0" borderId="1" xfId="0" applyNumberFormat="1" applyBorder="1"/>
    <xf numFmtId="166" fontId="0" fillId="0" borderId="0" xfId="0" applyNumberFormat="1"/>
    <xf numFmtId="0" fontId="0" fillId="3" borderId="1" xfId="0" applyFill="1" applyBorder="1"/>
    <xf numFmtId="1" fontId="0" fillId="0" borderId="1" xfId="0" applyNumberFormat="1" applyBorder="1"/>
    <xf numFmtId="2" fontId="0" fillId="0" borderId="1" xfId="0" applyNumberFormat="1" applyBorder="1"/>
    <xf numFmtId="0" fontId="0" fillId="0" borderId="0" xfId="0" applyAlignment="1">
      <alignment horizontal="center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167" fontId="0" fillId="0" borderId="1" xfId="0" applyNumberFormat="1" applyBorder="1"/>
    <xf numFmtId="168" fontId="6" fillId="0" borderId="1" xfId="1" applyNumberFormat="1" applyBorder="1"/>
    <xf numFmtId="170" fontId="6" fillId="0" borderId="1" xfId="2" applyNumberFormat="1" applyBorder="1"/>
    <xf numFmtId="170" fontId="6" fillId="0" borderId="0" xfId="2" applyNumberFormat="1"/>
    <xf numFmtId="168" fontId="2" fillId="0" borderId="1" xfId="1" applyNumberFormat="1" applyFont="1" applyBorder="1" applyAlignment="1">
      <alignment wrapText="1"/>
    </xf>
    <xf numFmtId="167" fontId="0" fillId="0" borderId="0" xfId="0" applyNumberFormat="1"/>
    <xf numFmtId="170" fontId="0" fillId="0" borderId="1" xfId="0" applyNumberFormat="1" applyBorder="1"/>
    <xf numFmtId="171" fontId="0" fillId="0" borderId="1" xfId="0" applyNumberFormat="1" applyBorder="1"/>
    <xf numFmtId="170" fontId="0" fillId="0" borderId="0" xfId="0" applyNumberFormat="1"/>
    <xf numFmtId="9" fontId="6" fillId="0" borderId="1" xfId="3" applyBorder="1" applyAlignment="1">
      <alignment wrapText="1"/>
    </xf>
    <xf numFmtId="49" fontId="1" fillId="0" borderId="1" xfId="4" applyNumberFormat="1" applyBorder="1" applyAlignment="1">
      <alignment horizontal="left" indent="3"/>
    </xf>
    <xf numFmtId="172" fontId="0" fillId="0" borderId="1" xfId="0" applyNumberFormat="1" applyBorder="1"/>
    <xf numFmtId="0" fontId="1" fillId="0" borderId="1" xfId="5" applyBorder="1"/>
    <xf numFmtId="0" fontId="0" fillId="0" borderId="0" xfId="0" applyAlignment="1">
      <alignment horizontal="right"/>
    </xf>
    <xf numFmtId="173" fontId="0" fillId="0" borderId="1" xfId="0" applyNumberFormat="1" applyBorder="1"/>
    <xf numFmtId="0" fontId="0" fillId="0" borderId="1" xfId="0" applyBorder="1" applyAlignment="1">
      <alignment horizontal="right"/>
    </xf>
    <xf numFmtId="0" fontId="0" fillId="4" borderId="1" xfId="0" applyFill="1" applyBorder="1"/>
    <xf numFmtId="0" fontId="0" fillId="0" borderId="1" xfId="0" applyBorder="1" applyAlignment="1">
      <alignment horizontal="center" wrapText="1"/>
    </xf>
    <xf numFmtId="174" fontId="0" fillId="0" borderId="1" xfId="0" applyNumberFormat="1" applyBorder="1"/>
    <xf numFmtId="175" fontId="0" fillId="0" borderId="1" xfId="0" applyNumberFormat="1" applyBorder="1"/>
    <xf numFmtId="2" fontId="0" fillId="4" borderId="1" xfId="0" applyNumberFormat="1" applyFill="1" applyBorder="1"/>
    <xf numFmtId="0" fontId="4" fillId="5" borderId="0" xfId="0" applyFont="1" applyFill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4" fontId="5" fillId="6" borderId="5" xfId="0" applyNumberFormat="1" applyFont="1" applyFill="1" applyBorder="1" applyAlignment="1">
      <alignment horizontal="center"/>
    </xf>
    <xf numFmtId="4" fontId="5" fillId="6" borderId="5" xfId="0" applyNumberFormat="1" applyFont="1" applyFill="1" applyBorder="1" applyAlignment="1">
      <alignment horizontal="center" vertical="center"/>
    </xf>
    <xf numFmtId="4" fontId="0" fillId="0" borderId="5" xfId="0" applyNumberFormat="1" applyBorder="1" applyAlignment="1">
      <alignment horizontal="center"/>
    </xf>
    <xf numFmtId="2" fontId="5" fillId="6" borderId="4" xfId="0" applyNumberFormat="1" applyFont="1" applyFill="1" applyBorder="1" applyAlignment="1">
      <alignment horizontal="center" vertical="center"/>
    </xf>
    <xf numFmtId="4" fontId="5" fillId="6" borderId="6" xfId="0" applyNumberFormat="1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4" fontId="5" fillId="4" borderId="0" xfId="0" applyNumberFormat="1" applyFont="1" applyFill="1" applyAlignment="1">
      <alignment horizontal="center"/>
    </xf>
    <xf numFmtId="4" fontId="5" fillId="4" borderId="0" xfId="0" applyNumberFormat="1" applyFont="1" applyFill="1" applyAlignment="1">
      <alignment horizontal="center" vertical="center"/>
    </xf>
    <xf numFmtId="4" fontId="0" fillId="0" borderId="0" xfId="0" applyNumberFormat="1" applyAlignment="1">
      <alignment horizontal="center"/>
    </xf>
    <xf numFmtId="2" fontId="5" fillId="4" borderId="7" xfId="0" applyNumberFormat="1" applyFont="1" applyFill="1" applyBorder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4" fontId="5" fillId="6" borderId="0" xfId="0" applyNumberFormat="1" applyFont="1" applyFill="1" applyAlignment="1">
      <alignment horizontal="center"/>
    </xf>
    <xf numFmtId="4" fontId="5" fillId="6" borderId="0" xfId="0" applyNumberFormat="1" applyFont="1" applyFill="1" applyAlignment="1">
      <alignment horizontal="center" vertical="center"/>
    </xf>
    <xf numFmtId="2" fontId="5" fillId="6" borderId="8" xfId="0" applyNumberFormat="1" applyFont="1" applyFill="1" applyBorder="1" applyAlignment="1">
      <alignment horizontal="center" vertical="center"/>
    </xf>
    <xf numFmtId="4" fontId="5" fillId="6" borderId="3" xfId="0" applyNumberFormat="1" applyFont="1" applyFill="1" applyBorder="1" applyAlignment="1">
      <alignment horizontal="center" vertical="center"/>
    </xf>
    <xf numFmtId="2" fontId="5" fillId="4" borderId="8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4" fontId="5" fillId="6" borderId="10" xfId="0" applyNumberFormat="1" applyFont="1" applyFill="1" applyBorder="1" applyAlignment="1">
      <alignment horizontal="center"/>
    </xf>
    <xf numFmtId="4" fontId="5" fillId="6" borderId="10" xfId="0" applyNumberFormat="1" applyFont="1" applyFill="1" applyBorder="1" applyAlignment="1">
      <alignment horizontal="center" vertical="center"/>
    </xf>
    <xf numFmtId="4" fontId="0" fillId="0" borderId="10" xfId="0" applyNumberFormat="1" applyBorder="1" applyAlignment="1">
      <alignment horizontal="center"/>
    </xf>
    <xf numFmtId="2" fontId="5" fillId="6" borderId="11" xfId="0" applyNumberFormat="1" applyFont="1" applyFill="1" applyBorder="1" applyAlignment="1">
      <alignment horizontal="center" vertical="center"/>
    </xf>
    <xf numFmtId="4" fontId="5" fillId="6" borderId="12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/>
    </xf>
    <xf numFmtId="4" fontId="5" fillId="4" borderId="5" xfId="0" applyNumberFormat="1" applyFont="1" applyFill="1" applyBorder="1" applyAlignment="1">
      <alignment horizontal="center" vertical="center"/>
    </xf>
    <xf numFmtId="2" fontId="5" fillId="4" borderId="13" xfId="0" applyNumberFormat="1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4" fontId="5" fillId="4" borderId="10" xfId="0" applyNumberFormat="1" applyFont="1" applyFill="1" applyBorder="1" applyAlignment="1">
      <alignment horizontal="center"/>
    </xf>
    <xf numFmtId="4" fontId="5" fillId="4" borderId="10" xfId="0" applyNumberFormat="1" applyFont="1" applyFill="1" applyBorder="1" applyAlignment="1">
      <alignment horizontal="center" vertical="center"/>
    </xf>
    <xf numFmtId="2" fontId="5" fillId="4" borderId="11" xfId="0" applyNumberFormat="1" applyFont="1" applyFill="1" applyBorder="1" applyAlignment="1">
      <alignment horizontal="center" vertical="center"/>
    </xf>
    <xf numFmtId="4" fontId="5" fillId="4" borderId="12" xfId="0" applyNumberFormat="1" applyFont="1" applyFill="1" applyBorder="1" applyAlignment="1">
      <alignment horizontal="center" vertical="center"/>
    </xf>
    <xf numFmtId="2" fontId="5" fillId="6" borderId="13" xfId="0" applyNumberFormat="1" applyFont="1" applyFill="1" applyBorder="1" applyAlignment="1">
      <alignment horizontal="center" vertical="center"/>
    </xf>
    <xf numFmtId="4" fontId="0" fillId="2" borderId="1" xfId="0" applyNumberFormat="1" applyFill="1" applyBorder="1"/>
    <xf numFmtId="4" fontId="0" fillId="3" borderId="1" xfId="0" applyNumberFormat="1" applyFill="1" applyBorder="1"/>
    <xf numFmtId="2" fontId="0" fillId="2" borderId="1" xfId="0" applyNumberFormat="1" applyFill="1" applyBorder="1"/>
  </cellXfs>
  <cellStyles count="6">
    <cellStyle name="Millares" xfId="1" builtinId="3"/>
    <cellStyle name="Millares 4" xfId="4" xr:uid="{00000000-0005-0000-0000-000006000000}"/>
    <cellStyle name="Moneda" xfId="2" builtinId="4"/>
    <cellStyle name="Normal" xfId="0" builtinId="0"/>
    <cellStyle name="Normal_Cuadros de Ingreso" xfId="5" xr:uid="{00000000-0005-0000-0000-000007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8FAADC"/>
      <rgbColor rgb="FF993366"/>
      <rgbColor rgb="FFF8F8F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zoomScaleNormal="100" workbookViewId="0">
      <selection activeCell="G11" sqref="G11"/>
    </sheetView>
  </sheetViews>
  <sheetFormatPr baseColWidth="10" defaultColWidth="10.6640625" defaultRowHeight="14.4" x14ac:dyDescent="0.3"/>
  <sheetData>
    <row r="1" spans="1:9" x14ac:dyDescent="0.3">
      <c r="A1" s="6" t="s">
        <v>0</v>
      </c>
      <c r="B1" s="5" t="s">
        <v>1</v>
      </c>
      <c r="C1" s="5"/>
      <c r="D1" s="5"/>
      <c r="E1" s="5"/>
      <c r="F1" s="5"/>
      <c r="G1" s="5"/>
      <c r="H1" s="5"/>
      <c r="I1" s="6" t="s">
        <v>2</v>
      </c>
    </row>
    <row r="2" spans="1:9" x14ac:dyDescent="0.3">
      <c r="A2" s="6"/>
      <c r="B2" s="6"/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</row>
    <row r="3" spans="1:9" x14ac:dyDescent="0.3">
      <c r="A3" s="6">
        <v>2024</v>
      </c>
      <c r="B3" s="6">
        <v>100</v>
      </c>
      <c r="C3" s="6">
        <v>0.59999999999999398</v>
      </c>
      <c r="D3" s="6">
        <v>1.7</v>
      </c>
      <c r="E3" s="6">
        <v>9.11</v>
      </c>
      <c r="F3" s="6">
        <v>13.64</v>
      </c>
      <c r="G3" s="6">
        <v>0.44299999999999801</v>
      </c>
      <c r="H3" s="6">
        <v>4</v>
      </c>
      <c r="I3" s="6">
        <v>29.492999999999999</v>
      </c>
    </row>
    <row r="4" spans="1:9" x14ac:dyDescent="0.3">
      <c r="A4" s="6">
        <v>2023</v>
      </c>
      <c r="B4" s="6"/>
      <c r="C4" s="6">
        <v>0.59999999999999398</v>
      </c>
      <c r="D4" s="6">
        <v>1.7</v>
      </c>
      <c r="E4" s="6">
        <v>9.61</v>
      </c>
      <c r="F4" s="6">
        <v>13.72</v>
      </c>
      <c r="G4" s="6">
        <v>0.59000000000000297</v>
      </c>
      <c r="H4" s="6">
        <v>4.4000000000000101</v>
      </c>
      <c r="I4" s="6">
        <v>30.62</v>
      </c>
    </row>
    <row r="5" spans="1:9" x14ac:dyDescent="0.3">
      <c r="A5" s="6">
        <v>2022</v>
      </c>
      <c r="B5" s="6"/>
      <c r="C5" s="6">
        <v>0.59999999999999398</v>
      </c>
      <c r="D5" s="6">
        <v>1.8</v>
      </c>
      <c r="E5" s="6">
        <v>10.06</v>
      </c>
      <c r="F5" s="6">
        <v>14.37</v>
      </c>
      <c r="G5" s="6">
        <v>0.739999999999995</v>
      </c>
      <c r="H5" s="6">
        <v>4.8</v>
      </c>
      <c r="I5" s="6">
        <v>32.369999999999997</v>
      </c>
    </row>
    <row r="6" spans="1:9" x14ac:dyDescent="0.3">
      <c r="A6" s="6">
        <v>2021</v>
      </c>
      <c r="B6" s="6"/>
      <c r="C6" s="6">
        <v>0.59999999999999398</v>
      </c>
      <c r="D6" s="6">
        <v>2.0999999999999899</v>
      </c>
      <c r="E6" s="6">
        <v>10.74</v>
      </c>
      <c r="F6" s="6">
        <v>14.23</v>
      </c>
      <c r="G6" s="6">
        <v>0.90999999999999703</v>
      </c>
      <c r="H6" s="6">
        <v>5.0999999999999899</v>
      </c>
      <c r="I6" s="6">
        <v>33.68</v>
      </c>
    </row>
    <row r="7" spans="1:9" x14ac:dyDescent="0.3">
      <c r="A7" s="6">
        <v>2020</v>
      </c>
      <c r="B7" s="6"/>
      <c r="C7" s="6">
        <v>0.59999999999999398</v>
      </c>
      <c r="D7" s="6">
        <v>2.2000000000000002</v>
      </c>
      <c r="E7" s="6">
        <v>10.1</v>
      </c>
      <c r="F7" s="6">
        <v>14.78</v>
      </c>
      <c r="G7" s="6">
        <v>1.5</v>
      </c>
      <c r="H7" s="6">
        <v>5.5999999999999899</v>
      </c>
      <c r="I7" s="6">
        <v>34.78</v>
      </c>
    </row>
  </sheetData>
  <mergeCells count="1">
    <mergeCell ref="B1:H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81" zoomScaleNormal="81" workbookViewId="0">
      <selection activeCell="K21" sqref="K21"/>
    </sheetView>
  </sheetViews>
  <sheetFormatPr baseColWidth="10" defaultColWidth="10.6640625" defaultRowHeight="14.4" x14ac:dyDescent="0.3"/>
  <cols>
    <col min="2" max="2" width="13.5546875" customWidth="1"/>
    <col min="3" max="3" width="19.109375" customWidth="1"/>
    <col min="4" max="4" width="13.77734375" customWidth="1"/>
    <col min="5" max="5" width="18.21875" customWidth="1"/>
    <col min="6" max="6" width="17.77734375" customWidth="1"/>
    <col min="7" max="7" width="22" customWidth="1"/>
    <col min="8" max="8" width="25.109375" customWidth="1"/>
    <col min="9" max="9" width="27" customWidth="1"/>
    <col min="10" max="10" width="14" customWidth="1"/>
    <col min="11" max="12" width="19.33203125" customWidth="1"/>
    <col min="13" max="13" width="18.33203125" customWidth="1"/>
    <col min="14" max="14" width="17.5546875" customWidth="1"/>
    <col min="16" max="16" width="23.44140625" customWidth="1"/>
  </cols>
  <sheetData>
    <row r="1" spans="2:12" ht="43.5" customHeight="1" x14ac:dyDescent="0.3">
      <c r="B1" s="7" t="s">
        <v>0</v>
      </c>
      <c r="C1" s="8" t="s">
        <v>10</v>
      </c>
      <c r="E1" s="5" t="s">
        <v>11</v>
      </c>
      <c r="F1" s="5"/>
      <c r="G1" s="5"/>
    </row>
    <row r="2" spans="2:12" ht="28.5" customHeight="1" x14ac:dyDescent="0.3">
      <c r="B2" s="6">
        <v>2024</v>
      </c>
      <c r="C2" s="6">
        <v>10.1</v>
      </c>
      <c r="E2" s="7" t="s">
        <v>12</v>
      </c>
      <c r="F2" s="7" t="s">
        <v>13</v>
      </c>
      <c r="G2" s="7" t="s">
        <v>14</v>
      </c>
      <c r="I2" s="9" t="s">
        <v>0</v>
      </c>
      <c r="J2" s="9" t="s">
        <v>15</v>
      </c>
      <c r="K2" s="9" t="s">
        <v>16</v>
      </c>
      <c r="L2" s="10" t="s">
        <v>17</v>
      </c>
    </row>
    <row r="3" spans="2:12" x14ac:dyDescent="0.3">
      <c r="B3" s="6">
        <v>2023</v>
      </c>
      <c r="C3" s="6">
        <v>10</v>
      </c>
      <c r="E3" s="6" t="s">
        <v>18</v>
      </c>
      <c r="F3" s="11">
        <v>1894.8</v>
      </c>
      <c r="G3" s="11">
        <v>3904.6</v>
      </c>
      <c r="I3" s="6">
        <v>2014</v>
      </c>
      <c r="J3" s="12">
        <v>10.27</v>
      </c>
      <c r="K3" s="13">
        <v>44870.25</v>
      </c>
      <c r="L3" s="13">
        <v>17148.55</v>
      </c>
    </row>
    <row r="4" spans="2:12" x14ac:dyDescent="0.3">
      <c r="B4" s="6">
        <v>2022</v>
      </c>
      <c r="C4" s="6">
        <v>7</v>
      </c>
      <c r="E4" s="6" t="s">
        <v>19</v>
      </c>
      <c r="F4" s="11">
        <v>17654.099999999999</v>
      </c>
      <c r="G4" s="11">
        <v>5960</v>
      </c>
      <c r="I4" s="6">
        <v>2015</v>
      </c>
      <c r="J4" s="12">
        <v>10.75</v>
      </c>
      <c r="K4" s="13">
        <f t="shared" ref="K4:K13" si="0">(K3*J4/100)+K3</f>
        <v>49693.801874999997</v>
      </c>
      <c r="L4" s="13">
        <f t="shared" ref="L4:L13" si="1">(L3*J4/100)+L3</f>
        <v>18992.019124999999</v>
      </c>
    </row>
    <row r="5" spans="2:12" x14ac:dyDescent="0.3">
      <c r="B5" s="6">
        <v>2021</v>
      </c>
      <c r="C5" s="6">
        <v>3</v>
      </c>
      <c r="E5" s="7" t="s">
        <v>20</v>
      </c>
      <c r="F5" s="11"/>
      <c r="G5" s="11"/>
      <c r="I5" s="6">
        <v>2016</v>
      </c>
      <c r="J5" s="12">
        <v>9</v>
      </c>
      <c r="K5" s="13">
        <f t="shared" si="0"/>
        <v>54166.244043749997</v>
      </c>
      <c r="L5" s="13">
        <f t="shared" si="1"/>
        <v>20701.30084625</v>
      </c>
    </row>
    <row r="6" spans="2:12" x14ac:dyDescent="0.3">
      <c r="B6" s="6">
        <v>2020</v>
      </c>
      <c r="C6" s="6">
        <v>2.63</v>
      </c>
      <c r="E6" s="6" t="s">
        <v>18</v>
      </c>
      <c r="F6" s="11">
        <v>4318</v>
      </c>
      <c r="G6" s="11">
        <v>2577.25</v>
      </c>
      <c r="I6" s="6">
        <v>2017</v>
      </c>
      <c r="J6" s="12">
        <v>8.25</v>
      </c>
      <c r="K6" s="13">
        <f t="shared" si="0"/>
        <v>58634.959177359371</v>
      </c>
      <c r="L6" s="13">
        <f t="shared" si="1"/>
        <v>22409.158166065627</v>
      </c>
    </row>
    <row r="7" spans="2:12" x14ac:dyDescent="0.3">
      <c r="B7" s="6">
        <v>2019</v>
      </c>
      <c r="C7" s="6">
        <v>5.2</v>
      </c>
      <c r="E7" s="6" t="s">
        <v>19</v>
      </c>
      <c r="F7" s="11">
        <v>12029.3</v>
      </c>
      <c r="G7" s="11">
        <v>1277</v>
      </c>
      <c r="I7" s="6">
        <v>2018</v>
      </c>
      <c r="J7" s="12">
        <v>5.2</v>
      </c>
      <c r="K7" s="13">
        <f t="shared" si="0"/>
        <v>61683.977054582057</v>
      </c>
      <c r="L7" s="13">
        <f t="shared" si="1"/>
        <v>23574.434390701041</v>
      </c>
    </row>
    <row r="8" spans="2:12" x14ac:dyDescent="0.3">
      <c r="B8" s="6">
        <v>2018</v>
      </c>
      <c r="C8" s="6">
        <v>5.2</v>
      </c>
      <c r="E8" s="7" t="s">
        <v>21</v>
      </c>
      <c r="F8" s="14">
        <f>AVERAGE(F3:F7)</f>
        <v>8974.0499999999993</v>
      </c>
      <c r="G8" s="14">
        <f>AVERAGE(G3:G7)</f>
        <v>3429.7125000000001</v>
      </c>
      <c r="I8" s="6">
        <v>2019</v>
      </c>
      <c r="J8" s="12">
        <v>5.2</v>
      </c>
      <c r="K8" s="13">
        <f t="shared" si="0"/>
        <v>64891.543861420323</v>
      </c>
      <c r="L8" s="13">
        <f t="shared" si="1"/>
        <v>24800.304979017495</v>
      </c>
    </row>
    <row r="9" spans="2:12" x14ac:dyDescent="0.3">
      <c r="B9" s="6">
        <v>2017</v>
      </c>
      <c r="C9" s="6">
        <v>8.25</v>
      </c>
      <c r="I9" s="6">
        <v>2020</v>
      </c>
      <c r="J9" s="12">
        <v>2.63</v>
      </c>
      <c r="K9" s="13">
        <f t="shared" si="0"/>
        <v>66598.19146497568</v>
      </c>
      <c r="L9" s="13">
        <f t="shared" si="1"/>
        <v>25452.552999965657</v>
      </c>
    </row>
    <row r="10" spans="2:12" x14ac:dyDescent="0.3">
      <c r="B10" s="6">
        <v>2016</v>
      </c>
      <c r="C10" s="6">
        <v>9</v>
      </c>
      <c r="I10" s="6">
        <v>2021</v>
      </c>
      <c r="J10" s="12">
        <v>3</v>
      </c>
      <c r="K10" s="13">
        <f t="shared" si="0"/>
        <v>68596.137208924949</v>
      </c>
      <c r="L10" s="13">
        <f t="shared" si="1"/>
        <v>26216.129589964628</v>
      </c>
    </row>
    <row r="11" spans="2:12" x14ac:dyDescent="0.3">
      <c r="B11" s="6">
        <v>2015</v>
      </c>
      <c r="C11" s="6">
        <v>10.75</v>
      </c>
      <c r="I11" s="6">
        <v>2022</v>
      </c>
      <c r="J11" s="12">
        <v>7</v>
      </c>
      <c r="K11" s="13">
        <f t="shared" si="0"/>
        <v>73397.866813549699</v>
      </c>
      <c r="L11" s="13">
        <f t="shared" si="1"/>
        <v>28051.258661262153</v>
      </c>
    </row>
    <row r="12" spans="2:12" x14ac:dyDescent="0.3">
      <c r="B12" s="6">
        <v>2014</v>
      </c>
      <c r="C12" s="6">
        <v>10.27</v>
      </c>
      <c r="I12" s="6">
        <v>2023</v>
      </c>
      <c r="J12" s="12">
        <v>10</v>
      </c>
      <c r="K12" s="13">
        <f t="shared" si="0"/>
        <v>80737.653494904662</v>
      </c>
      <c r="L12" s="13">
        <f t="shared" si="1"/>
        <v>30856.384527388367</v>
      </c>
    </row>
    <row r="13" spans="2:12" x14ac:dyDescent="0.3">
      <c r="I13" s="6">
        <v>2024</v>
      </c>
      <c r="J13" s="12">
        <v>10.1</v>
      </c>
      <c r="K13" s="13">
        <f t="shared" si="0"/>
        <v>88892.156497890028</v>
      </c>
      <c r="L13" s="13">
        <f t="shared" si="1"/>
        <v>33972.879364654589</v>
      </c>
    </row>
    <row r="16" spans="2:12" ht="6" customHeight="1" x14ac:dyDescent="0.3"/>
    <row r="17" spans="1:8" ht="45" customHeight="1" x14ac:dyDescent="0.3">
      <c r="A17" s="7" t="s">
        <v>22</v>
      </c>
      <c r="B17" s="7" t="s">
        <v>23</v>
      </c>
      <c r="C17" s="15" t="s">
        <v>24</v>
      </c>
      <c r="D17" s="7" t="s">
        <v>25</v>
      </c>
      <c r="E17" s="15" t="s">
        <v>26</v>
      </c>
      <c r="F17" s="7" t="s">
        <v>27</v>
      </c>
      <c r="G17" s="15" t="s">
        <v>28</v>
      </c>
      <c r="H17" s="15" t="s">
        <v>29</v>
      </c>
    </row>
    <row r="18" spans="1:8" x14ac:dyDescent="0.3">
      <c r="A18" s="6">
        <v>2024</v>
      </c>
      <c r="B18" s="6"/>
      <c r="C18" s="6"/>
      <c r="D18" s="6">
        <f>_xlfn.FORECAST.LINEAR(A18,D19:D23,A19:A23)</f>
        <v>4724.0907405373873</v>
      </c>
      <c r="E18" s="16">
        <f>K13</f>
        <v>88892.156497890028</v>
      </c>
      <c r="F18" s="16">
        <f>L13</f>
        <v>33972.879364654589</v>
      </c>
      <c r="G18" s="6">
        <f t="shared" ref="G18:G23" si="2">(D18/E18)*100</f>
        <v>5.3144067223180933</v>
      </c>
      <c r="H18" s="6">
        <f t="shared" ref="H18:H23" si="3">(D18/F18)*100</f>
        <v>13.905476453233268</v>
      </c>
    </row>
    <row r="19" spans="1:8" x14ac:dyDescent="0.3">
      <c r="A19" s="6">
        <v>2023</v>
      </c>
      <c r="B19" s="6"/>
      <c r="C19" s="6"/>
      <c r="D19" s="6">
        <f>_xlfn.FORECAST.LINEAR(A19,D20:D23,A20:A23)</f>
        <v>4913.1005605430692</v>
      </c>
      <c r="E19" s="16">
        <f>K12</f>
        <v>80737.653494904662</v>
      </c>
      <c r="F19" s="16">
        <f>L12</f>
        <v>30856.384527388367</v>
      </c>
      <c r="G19" s="6">
        <f t="shared" si="2"/>
        <v>6.0852654837846316</v>
      </c>
      <c r="H19" s="6">
        <f t="shared" si="3"/>
        <v>15.922476452748905</v>
      </c>
    </row>
    <row r="20" spans="1:8" x14ac:dyDescent="0.3">
      <c r="A20" s="6">
        <v>2022</v>
      </c>
      <c r="B20" s="17">
        <v>1225848</v>
      </c>
      <c r="C20" s="18">
        <v>6371647678.2799997</v>
      </c>
      <c r="D20" s="6">
        <f>C20/B20</f>
        <v>5197.7469297009093</v>
      </c>
      <c r="E20" s="16">
        <f>K11</f>
        <v>73397.866813549699</v>
      </c>
      <c r="F20" s="16">
        <f>L11</f>
        <v>28051.258661262153</v>
      </c>
      <c r="G20" s="6">
        <f t="shared" si="2"/>
        <v>7.0816048958269899</v>
      </c>
      <c r="H20" s="6">
        <f t="shared" si="3"/>
        <v>18.52946062943986</v>
      </c>
    </row>
    <row r="21" spans="1:8" x14ac:dyDescent="0.3">
      <c r="A21" s="6">
        <v>2021</v>
      </c>
      <c r="B21" s="17">
        <v>1209264</v>
      </c>
      <c r="C21" s="18">
        <v>6030543606.1899996</v>
      </c>
      <c r="D21" s="6">
        <f>C21/B21</f>
        <v>4986.9537224212409</v>
      </c>
      <c r="E21" s="16">
        <f>K10</f>
        <v>68596.137208924949</v>
      </c>
      <c r="F21" s="16">
        <f>L10</f>
        <v>26216.129589964628</v>
      </c>
      <c r="G21" s="6">
        <f t="shared" si="2"/>
        <v>7.2700212072180577</v>
      </c>
      <c r="H21" s="6">
        <f t="shared" si="3"/>
        <v>19.022463652797232</v>
      </c>
    </row>
    <row r="22" spans="1:8" x14ac:dyDescent="0.3">
      <c r="A22" s="6">
        <v>2020</v>
      </c>
      <c r="B22" s="17">
        <v>1155606</v>
      </c>
      <c r="C22" s="18">
        <v>6704309836.7399998</v>
      </c>
      <c r="D22" s="6">
        <f>C22/B22</f>
        <v>5801.5533293700446</v>
      </c>
      <c r="E22" s="16">
        <f>K9</f>
        <v>66598.19146497568</v>
      </c>
      <c r="F22" s="16">
        <f>L9</f>
        <v>25452.552999965657</v>
      </c>
      <c r="G22" s="6">
        <f t="shared" si="2"/>
        <v>8.7112775914059313</v>
      </c>
      <c r="H22" s="6">
        <f t="shared" si="3"/>
        <v>22.793600820231561</v>
      </c>
    </row>
    <row r="23" spans="1:8" x14ac:dyDescent="0.3">
      <c r="A23" s="6">
        <v>2019</v>
      </c>
      <c r="B23" s="17">
        <v>1130580</v>
      </c>
      <c r="C23" s="18">
        <v>6281781123.5799999</v>
      </c>
      <c r="D23" s="6">
        <f>C23/B23</f>
        <v>5556.2464607369666</v>
      </c>
      <c r="E23" s="16">
        <f>K8</f>
        <v>64891.543861420323</v>
      </c>
      <c r="F23" s="16">
        <f>L8</f>
        <v>24800.304979017495</v>
      </c>
      <c r="G23" s="6">
        <f t="shared" si="2"/>
        <v>8.562358252105474</v>
      </c>
      <c r="H23" s="6">
        <f t="shared" si="3"/>
        <v>22.403944086324241</v>
      </c>
    </row>
    <row r="25" spans="1:8" x14ac:dyDescent="0.3">
      <c r="E25">
        <f>E18/F18</f>
        <v>2.616562333258496</v>
      </c>
      <c r="F25" s="19"/>
    </row>
  </sheetData>
  <mergeCells count="1">
    <mergeCell ref="E1:G1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tabSelected="1" zoomScale="77" zoomScaleNormal="77" workbookViewId="0">
      <selection activeCell="I5" sqref="I5"/>
    </sheetView>
  </sheetViews>
  <sheetFormatPr baseColWidth="10" defaultColWidth="10.6640625" defaultRowHeight="14.4" x14ac:dyDescent="0.3"/>
  <sheetData>
    <row r="1" spans="1:8" x14ac:dyDescent="0.3">
      <c r="A1" s="4" t="s">
        <v>30</v>
      </c>
      <c r="B1" s="4"/>
      <c r="C1" s="4"/>
      <c r="D1" s="4"/>
      <c r="E1" s="4"/>
      <c r="F1" s="4"/>
      <c r="G1" s="4"/>
      <c r="H1" s="4"/>
    </row>
    <row r="2" spans="1:8" x14ac:dyDescent="0.3">
      <c r="A2" s="20" t="s">
        <v>31</v>
      </c>
      <c r="B2" s="20" t="s">
        <v>32</v>
      </c>
      <c r="C2" s="20" t="s">
        <v>33</v>
      </c>
      <c r="D2" s="20" t="s">
        <v>34</v>
      </c>
      <c r="E2" s="20" t="s">
        <v>35</v>
      </c>
      <c r="F2" s="20" t="s">
        <v>36</v>
      </c>
      <c r="G2" s="20" t="s">
        <v>37</v>
      </c>
      <c r="H2" s="20" t="s">
        <v>9</v>
      </c>
    </row>
    <row r="3" spans="1:8" x14ac:dyDescent="0.3">
      <c r="A3" s="21">
        <v>2024</v>
      </c>
      <c r="B3" s="22">
        <f>'SOC 2 NIC  (2)'!G18</f>
        <v>5.3144067223180933</v>
      </c>
      <c r="C3" s="22">
        <f>'SOC 2 CR'!E21</f>
        <v>1.8853930572541755</v>
      </c>
      <c r="D3" s="22">
        <f>'SOC 2 HD'!E13</f>
        <v>6.5519766296981654</v>
      </c>
      <c r="E3" s="22">
        <f>'SOC 2 ES'!J11</f>
        <v>1.7594525011328015</v>
      </c>
      <c r="F3" s="22">
        <f>'SOC 2 GUA'!G17</f>
        <v>2.3814960733374404</v>
      </c>
      <c r="G3" s="22">
        <f>'SOC 2 PAN'!I18</f>
        <v>2.7881557852036076</v>
      </c>
      <c r="H3" s="22">
        <f>AVERAGE(B3:G3)</f>
        <v>3.4468134614907142</v>
      </c>
    </row>
    <row r="4" spans="1:8" x14ac:dyDescent="0.3">
      <c r="A4" s="21">
        <v>2023</v>
      </c>
      <c r="B4" s="22">
        <f>'SOC 2 NIC  (2)'!G19</f>
        <v>6.0852654837846316</v>
      </c>
      <c r="C4" s="22">
        <f>'SOC 2 CR'!E22</f>
        <v>1.8263095382612011</v>
      </c>
      <c r="D4" s="22">
        <f>'SOC 2 HD'!E14</f>
        <v>6.2977618505879587</v>
      </c>
      <c r="E4" s="22">
        <f>'SOC 2 ES'!J12</f>
        <v>1.7287698688894335</v>
      </c>
      <c r="F4" s="22">
        <f>'SOC 2 GUA'!G18</f>
        <v>2.3675878720735155</v>
      </c>
      <c r="G4" s="22">
        <f>'SOC 2 PAN'!I19</f>
        <v>2.5202872984228897</v>
      </c>
      <c r="H4" s="22">
        <f>AVERAGE(B4:G4)</f>
        <v>3.4709969853366047</v>
      </c>
    </row>
    <row r="5" spans="1:8" x14ac:dyDescent="0.3">
      <c r="A5" s="21">
        <v>2022</v>
      </c>
      <c r="B5" s="22">
        <f>'SOC 2 NIC  (2)'!G20</f>
        <v>7.0816048958269899</v>
      </c>
      <c r="C5" s="22">
        <f>'SOC 2 CR'!E23</f>
        <v>1.8049219537156869</v>
      </c>
      <c r="D5" s="22">
        <f>'SOC 2 HD'!E15</f>
        <v>5.8847581956424397</v>
      </c>
      <c r="E5" s="22">
        <f>'SOC 2 ES'!J13</f>
        <v>1.865033230412082</v>
      </c>
      <c r="F5" s="22">
        <f>'SOC 2 GUA'!G19</f>
        <v>2.3463558001609552</v>
      </c>
      <c r="G5" s="22">
        <f>'SOC 2 PAN'!I20</f>
        <v>2.5818742437761326</v>
      </c>
      <c r="H5" s="22">
        <f>AVERAGE(B5:G5)</f>
        <v>3.594091386589048</v>
      </c>
    </row>
    <row r="6" spans="1:8" x14ac:dyDescent="0.3">
      <c r="A6" s="21">
        <v>2021</v>
      </c>
      <c r="B6" s="22">
        <f>'SOC 2 NIC  (2)'!G21</f>
        <v>7.2700212072180577</v>
      </c>
      <c r="C6" s="22">
        <f>'SOC 2 CR'!E24</f>
        <v>1.8766132207355586</v>
      </c>
      <c r="D6" s="22">
        <f>'SOC 2 HD'!E16</f>
        <v>5.1380737601287283</v>
      </c>
      <c r="E6" s="22">
        <f>'SOC 2 ES'!J14</f>
        <v>2.0311657405623942</v>
      </c>
      <c r="F6" s="22">
        <f>'SOC 2 GUA'!G20</f>
        <v>2.3851524531906554</v>
      </c>
      <c r="G6" s="22">
        <f>'SOC 2 PAN'!I21</f>
        <v>2.4101295270171592</v>
      </c>
      <c r="H6" s="22">
        <f>AVERAGE(B6:G6)</f>
        <v>3.5185259848087589</v>
      </c>
    </row>
    <row r="7" spans="1:8" x14ac:dyDescent="0.3">
      <c r="A7" s="21">
        <v>2020</v>
      </c>
      <c r="B7" s="22">
        <f>'SOC 2 NIC  (2)'!G22</f>
        <v>8.7112775914059313</v>
      </c>
      <c r="C7" s="22">
        <f>'SOC 2 CR'!E25</f>
        <v>2.4081281609810934</v>
      </c>
      <c r="D7" s="22">
        <f>'SOC 2 HD'!E17</f>
        <v>5.099601325768182</v>
      </c>
      <c r="E7" s="22">
        <f>'SOC 2 ES'!J15</f>
        <v>2.0633089285673574</v>
      </c>
      <c r="F7" s="22">
        <f>'SOC 2 GUA'!G21</f>
        <v>2.3434941505866358</v>
      </c>
      <c r="G7" s="22">
        <f>'SOC 2 PAN'!I22</f>
        <v>2.5991828456962121</v>
      </c>
      <c r="H7" s="22">
        <f>AVERAGE(B7:G7)</f>
        <v>3.8708321671675692</v>
      </c>
    </row>
    <row r="10" spans="1:8" x14ac:dyDescent="0.3">
      <c r="A10" s="4" t="s">
        <v>38</v>
      </c>
      <c r="B10" s="4"/>
      <c r="C10" s="4"/>
      <c r="D10" s="4"/>
      <c r="E10" s="4"/>
      <c r="F10" s="4"/>
      <c r="G10" s="4"/>
      <c r="H10" s="4"/>
    </row>
    <row r="11" spans="1:8" x14ac:dyDescent="0.3">
      <c r="A11" s="20" t="s">
        <v>0</v>
      </c>
      <c r="B11" s="20" t="s">
        <v>32</v>
      </c>
      <c r="C11" s="20" t="s">
        <v>33</v>
      </c>
      <c r="D11" s="20" t="s">
        <v>34</v>
      </c>
      <c r="E11" s="20" t="s">
        <v>35</v>
      </c>
      <c r="F11" s="20" t="s">
        <v>36</v>
      </c>
      <c r="G11" s="20" t="s">
        <v>37</v>
      </c>
      <c r="H11" s="20" t="s">
        <v>9</v>
      </c>
    </row>
    <row r="12" spans="1:8" x14ac:dyDescent="0.3">
      <c r="A12" s="6">
        <v>2024</v>
      </c>
      <c r="B12" s="22">
        <f>'SOC 2 NIC  (2)'!H18</f>
        <v>13.905476453233268</v>
      </c>
      <c r="C12" s="22">
        <f>'SOC 2 CR'!F21</f>
        <v>13.971496635703767</v>
      </c>
      <c r="D12" s="22">
        <f>'SOC 2 HD'!F13</f>
        <v>73.49462952233317</v>
      </c>
      <c r="E12" s="22">
        <f>'SOC 2 ES'!K11</f>
        <v>7.2345367918468257</v>
      </c>
      <c r="F12" s="22">
        <f>'SOC 2 GUA'!H17</f>
        <v>8.7879145746350993</v>
      </c>
      <c r="G12" s="22">
        <f>'SOC 2 PAN'!J18</f>
        <v>30.986548835198668</v>
      </c>
      <c r="H12" s="22">
        <f>AVERAGE(B12:G12)</f>
        <v>24.730100468825132</v>
      </c>
    </row>
    <row r="13" spans="1:8" x14ac:dyDescent="0.3">
      <c r="A13" s="6">
        <v>2023</v>
      </c>
      <c r="B13" s="22">
        <f>'SOC 2 NIC  (2)'!H19</f>
        <v>15.922476452748905</v>
      </c>
      <c r="C13" s="22">
        <f>'SOC 2 CR'!F22</f>
        <v>15.345369818192097</v>
      </c>
      <c r="D13" s="22">
        <f>'SOC 2 HD'!F14</f>
        <v>65.870335482785123</v>
      </c>
      <c r="E13" s="22">
        <f>'SOC 2 ES'!K12</f>
        <v>6.9145187934380932</v>
      </c>
      <c r="F13" s="22">
        <f>'SOC 2 GUA'!H18</f>
        <v>8.7365921786158136</v>
      </c>
      <c r="G13" s="22">
        <f>'SOC 2 PAN'!J19</f>
        <v>25.622921086371438</v>
      </c>
      <c r="H13" s="22">
        <f>AVERAGE(B13:G13)</f>
        <v>23.068702302025244</v>
      </c>
    </row>
    <row r="14" spans="1:8" x14ac:dyDescent="0.3">
      <c r="A14" s="6">
        <v>2022</v>
      </c>
      <c r="B14" s="22">
        <f>'SOC 2 NIC  (2)'!H20</f>
        <v>18.52946062943986</v>
      </c>
      <c r="C14" s="22">
        <f>'SOC 2 CR'!F23</f>
        <v>14.822262480143477</v>
      </c>
      <c r="D14" s="22">
        <f>'SOC 2 HD'!F15</f>
        <v>61.732542338476811</v>
      </c>
      <c r="E14" s="22">
        <f>'SOC 2 ES'!K13</f>
        <v>7.0087598049659983</v>
      </c>
      <c r="F14" s="22">
        <f>'SOC 2 GUA'!H19</f>
        <v>8.6582441030934341</v>
      </c>
      <c r="G14" s="22">
        <f>'SOC 2 PAN'!J20</f>
        <v>28.694010706148937</v>
      </c>
      <c r="H14" s="22">
        <f>AVERAGE(B14:G14)</f>
        <v>23.240880010378088</v>
      </c>
    </row>
    <row r="15" spans="1:8" x14ac:dyDescent="0.3">
      <c r="A15" s="6">
        <v>2021</v>
      </c>
      <c r="B15" s="22">
        <f>'SOC 2 NIC  (2)'!H21</f>
        <v>19.022463652797232</v>
      </c>
      <c r="C15" s="22">
        <f>'SOC 2 CR'!F24</f>
        <v>15.749042723665921</v>
      </c>
      <c r="D15" s="22">
        <f>'SOC 2 HD'!F16</f>
        <v>51.343162059002026</v>
      </c>
      <c r="E15" s="22">
        <f>'SOC 2 ES'!K14</f>
        <v>7.5546241093366664</v>
      </c>
      <c r="F15" s="22">
        <f>'SOC 2 GUA'!H20</f>
        <v>8.8014069142455718</v>
      </c>
      <c r="G15" s="22">
        <f>'SOC 2 PAN'!J21</f>
        <v>28.089484889812955</v>
      </c>
      <c r="H15" s="22">
        <f>AVERAGE(B15:G15)</f>
        <v>21.760030724810065</v>
      </c>
    </row>
    <row r="16" spans="1:8" x14ac:dyDescent="0.3">
      <c r="A16" s="6">
        <v>2020</v>
      </c>
      <c r="B16" s="22">
        <f>'SOC 2 NIC  (2)'!H22</f>
        <v>22.793600820231561</v>
      </c>
      <c r="C16" s="22">
        <f>'SOC 2 CR'!F25</f>
        <v>21.719403051305306</v>
      </c>
      <c r="D16" s="22">
        <f>'SOC 2 HD'!F17</f>
        <v>49.082692575959221</v>
      </c>
      <c r="E16" s="22">
        <f>'SOC 2 ES'!K15</f>
        <v>7.2421669099111003</v>
      </c>
      <c r="F16" s="22">
        <f>'SOC 2 GUA'!H21</f>
        <v>8.6476843829732957</v>
      </c>
      <c r="G16" s="22">
        <f>'SOC 2 PAN'!J22</f>
        <v>30.300850324903077</v>
      </c>
      <c r="H16" s="22">
        <f>AVERAGE(B16:G16)</f>
        <v>23.297733010880595</v>
      </c>
    </row>
  </sheetData>
  <mergeCells count="2">
    <mergeCell ref="A1:H1"/>
    <mergeCell ref="A10:H1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30"/>
  <sheetViews>
    <sheetView topLeftCell="A7" zoomScaleNormal="100" workbookViewId="0">
      <selection activeCell="B25" sqref="B25"/>
    </sheetView>
  </sheetViews>
  <sheetFormatPr baseColWidth="10" defaultColWidth="10.6640625" defaultRowHeight="14.4" x14ac:dyDescent="0.3"/>
  <cols>
    <col min="2" max="3" width="15.6640625" customWidth="1"/>
    <col min="4" max="4" width="16.109375" customWidth="1"/>
    <col min="5" max="5" width="17.5546875" customWidth="1"/>
    <col min="6" max="6" width="20.21875" customWidth="1"/>
    <col min="8" max="8" width="13.88671875" customWidth="1"/>
    <col min="10" max="11" width="14" customWidth="1"/>
    <col min="14" max="14" width="13.6640625" customWidth="1"/>
    <col min="16" max="17" width="14.21875" customWidth="1"/>
    <col min="20" max="20" width="14.33203125" customWidth="1"/>
    <col min="22" max="23" width="15.109375" customWidth="1"/>
    <col min="26" max="26" width="13.5546875" customWidth="1"/>
    <col min="28" max="28" width="12.88671875" customWidth="1"/>
    <col min="29" max="29" width="13.6640625" customWidth="1"/>
  </cols>
  <sheetData>
    <row r="1" spans="1:29" ht="53.25" customHeight="1" x14ac:dyDescent="0.3"/>
    <row r="6" spans="1:29" x14ac:dyDescent="0.3">
      <c r="A6" s="5">
        <v>2024</v>
      </c>
      <c r="B6" s="5"/>
      <c r="C6" s="5"/>
      <c r="D6" s="5"/>
      <c r="E6" s="23"/>
      <c r="G6" s="5">
        <v>2023</v>
      </c>
      <c r="H6" s="5"/>
      <c r="I6" s="5"/>
      <c r="J6" s="5"/>
      <c r="K6" s="23"/>
      <c r="M6" s="5">
        <v>2022</v>
      </c>
      <c r="N6" s="5"/>
      <c r="O6" s="5"/>
      <c r="P6" s="5"/>
      <c r="Q6" s="23"/>
      <c r="S6" s="5">
        <v>2021</v>
      </c>
      <c r="T6" s="5"/>
      <c r="U6" s="5"/>
      <c r="V6" s="5"/>
      <c r="W6" s="23"/>
      <c r="Y6" s="5">
        <v>2020</v>
      </c>
      <c r="Z6" s="5"/>
      <c r="AA6" s="5"/>
      <c r="AB6" s="5"/>
      <c r="AC6" s="23"/>
    </row>
    <row r="7" spans="1:29" ht="42.75" customHeight="1" x14ac:dyDescent="0.3">
      <c r="A7" s="24" t="s">
        <v>39</v>
      </c>
      <c r="B7" s="25" t="s">
        <v>40</v>
      </c>
      <c r="C7" s="6"/>
      <c r="D7" s="25" t="s">
        <v>41</v>
      </c>
      <c r="E7" t="s">
        <v>42</v>
      </c>
      <c r="G7" s="24" t="s">
        <v>39</v>
      </c>
      <c r="H7" s="25" t="s">
        <v>40</v>
      </c>
      <c r="I7" s="6"/>
      <c r="J7" s="25" t="s">
        <v>41</v>
      </c>
      <c r="K7" t="s">
        <v>42</v>
      </c>
      <c r="M7" s="24" t="s">
        <v>39</v>
      </c>
      <c r="N7" s="25" t="s">
        <v>40</v>
      </c>
      <c r="O7" s="6"/>
      <c r="P7" s="25" t="s">
        <v>41</v>
      </c>
      <c r="Q7" t="s">
        <v>42</v>
      </c>
      <c r="S7" s="24" t="s">
        <v>39</v>
      </c>
      <c r="T7" s="25" t="s">
        <v>40</v>
      </c>
      <c r="U7" s="6"/>
      <c r="V7" s="25" t="s">
        <v>41</v>
      </c>
      <c r="W7" t="s">
        <v>42</v>
      </c>
      <c r="Y7" s="24" t="s">
        <v>39</v>
      </c>
      <c r="Z7" s="25" t="s">
        <v>40</v>
      </c>
      <c r="AB7" s="25" t="s">
        <v>41</v>
      </c>
      <c r="AC7" t="s">
        <v>42</v>
      </c>
    </row>
    <row r="8" spans="1:29" x14ac:dyDescent="0.3">
      <c r="A8" s="24" t="s">
        <v>43</v>
      </c>
      <c r="B8" s="26">
        <v>258789</v>
      </c>
      <c r="C8" s="27">
        <v>0.56000000000000005</v>
      </c>
      <c r="D8" s="28">
        <f>C8*B8</f>
        <v>144921.84000000003</v>
      </c>
      <c r="E8" s="29">
        <f t="shared" ref="E8:E13" si="0">D8*12</f>
        <v>1739062.0800000003</v>
      </c>
      <c r="G8" s="24" t="s">
        <v>43</v>
      </c>
      <c r="H8" s="26">
        <v>225198</v>
      </c>
      <c r="I8" s="30">
        <v>0.53800000000000003</v>
      </c>
      <c r="J8" s="26">
        <f>I8*H8</f>
        <v>121156.524</v>
      </c>
      <c r="K8" s="31">
        <f t="shared" ref="K8:K13" si="1">J8*12</f>
        <v>1453878.2880000002</v>
      </c>
      <c r="M8" s="24" t="s">
        <v>43</v>
      </c>
      <c r="N8" s="26">
        <v>218126</v>
      </c>
      <c r="O8" s="30">
        <v>0.54900000000000004</v>
      </c>
      <c r="P8" s="26">
        <f>O8*N8</f>
        <v>119751.17400000001</v>
      </c>
      <c r="Q8" s="31">
        <f t="shared" ref="Q8:Q13" si="2">P8*12</f>
        <v>1437014.0880000002</v>
      </c>
      <c r="S8" s="24" t="s">
        <v>43</v>
      </c>
      <c r="T8" s="26">
        <v>203037</v>
      </c>
      <c r="U8" s="30">
        <v>0.55400000000000005</v>
      </c>
      <c r="V8" s="26">
        <f>U8*T8</f>
        <v>112482.49800000001</v>
      </c>
      <c r="W8" s="31">
        <f t="shared" ref="W8:W13" si="3">V8*12</f>
        <v>1349789.976</v>
      </c>
      <c r="Y8" s="24" t="s">
        <v>43</v>
      </c>
      <c r="Z8" s="26">
        <v>200315</v>
      </c>
      <c r="AA8" s="30">
        <v>0.45</v>
      </c>
      <c r="AB8" s="26">
        <f>AA8*Z8</f>
        <v>90141.75</v>
      </c>
      <c r="AC8" s="31">
        <f t="shared" ref="AC8:AC13" si="4">AB8*12</f>
        <v>1081701</v>
      </c>
    </row>
    <row r="9" spans="1:29" x14ac:dyDescent="0.3">
      <c r="A9" s="24" t="s">
        <v>44</v>
      </c>
      <c r="B9" s="26">
        <v>522563</v>
      </c>
      <c r="C9" s="27">
        <v>0.76</v>
      </c>
      <c r="D9" s="28">
        <f>C9*B9</f>
        <v>397147.88</v>
      </c>
      <c r="E9" s="29">
        <f t="shared" si="0"/>
        <v>4765774.5600000005</v>
      </c>
      <c r="G9" s="24" t="s">
        <v>44</v>
      </c>
      <c r="H9" s="26">
        <v>480175</v>
      </c>
      <c r="I9" s="30">
        <v>0.76500000000000001</v>
      </c>
      <c r="J9" s="26">
        <f>I9*H9</f>
        <v>367333.875</v>
      </c>
      <c r="K9" s="31">
        <f t="shared" si="1"/>
        <v>4408006.5</v>
      </c>
      <c r="M9" s="24" t="s">
        <v>44</v>
      </c>
      <c r="N9" s="26">
        <v>466200</v>
      </c>
      <c r="O9" s="30">
        <v>0.76</v>
      </c>
      <c r="P9" s="26">
        <f>O9*N9</f>
        <v>354312</v>
      </c>
      <c r="Q9" s="31">
        <f t="shared" si="2"/>
        <v>4251744</v>
      </c>
      <c r="S9" s="24" t="s">
        <v>44</v>
      </c>
      <c r="T9" s="26">
        <v>433789</v>
      </c>
      <c r="U9" s="30">
        <v>0.74</v>
      </c>
      <c r="V9" s="26">
        <f>U9*T9</f>
        <v>321003.86</v>
      </c>
      <c r="W9" s="31">
        <f t="shared" si="3"/>
        <v>3852046.32</v>
      </c>
      <c r="Y9" s="24" t="s">
        <v>44</v>
      </c>
      <c r="Z9" s="26">
        <v>381426</v>
      </c>
      <c r="AA9" s="30">
        <v>0.61099999999999999</v>
      </c>
      <c r="AB9" s="26">
        <f>AA9*Z9</f>
        <v>233051.28599999999</v>
      </c>
      <c r="AC9" s="31">
        <f t="shared" si="4"/>
        <v>2796615.432</v>
      </c>
    </row>
    <row r="10" spans="1:29" x14ac:dyDescent="0.3">
      <c r="A10" s="24" t="s">
        <v>45</v>
      </c>
      <c r="B10" s="26">
        <v>834691</v>
      </c>
      <c r="C10" s="27">
        <v>0.82</v>
      </c>
      <c r="D10" s="28">
        <f>C10*B10</f>
        <v>684446.62</v>
      </c>
      <c r="E10" s="29">
        <f t="shared" si="0"/>
        <v>8213359.4399999995</v>
      </c>
      <c r="G10" s="24" t="s">
        <v>45</v>
      </c>
      <c r="H10" s="26">
        <v>776767</v>
      </c>
      <c r="I10" s="30">
        <v>0.82</v>
      </c>
      <c r="J10" s="26">
        <f>I10*H10</f>
        <v>636948.93999999994</v>
      </c>
      <c r="K10" s="31">
        <f t="shared" si="1"/>
        <v>7643387.2799999993</v>
      </c>
      <c r="M10" s="24" t="s">
        <v>45</v>
      </c>
      <c r="N10" s="26">
        <v>757091</v>
      </c>
      <c r="O10" s="30">
        <v>0.83199999999999996</v>
      </c>
      <c r="P10" s="26">
        <f>O10*N10</f>
        <v>629899.71199999994</v>
      </c>
      <c r="Q10" s="31">
        <f t="shared" si="2"/>
        <v>7558796.5439999998</v>
      </c>
      <c r="S10" s="24" t="s">
        <v>45</v>
      </c>
      <c r="T10" s="26">
        <v>709442</v>
      </c>
      <c r="U10" s="30">
        <v>0.83</v>
      </c>
      <c r="V10" s="26">
        <f>U10*T10</f>
        <v>588836.86</v>
      </c>
      <c r="W10" s="31">
        <f t="shared" si="3"/>
        <v>7066042.3200000003</v>
      </c>
      <c r="Y10" s="24" t="s">
        <v>45</v>
      </c>
      <c r="Z10" s="26">
        <v>601068</v>
      </c>
      <c r="AA10" s="30">
        <v>0.74299999999999999</v>
      </c>
      <c r="AB10" s="26">
        <f>AA10*Z10</f>
        <v>446593.52399999998</v>
      </c>
      <c r="AC10" s="31">
        <f t="shared" si="4"/>
        <v>5359122.2879999997</v>
      </c>
    </row>
    <row r="11" spans="1:29" x14ac:dyDescent="0.3">
      <c r="A11" s="24" t="s">
        <v>46</v>
      </c>
      <c r="B11" s="26">
        <v>1292967</v>
      </c>
      <c r="C11" s="27">
        <v>0.82</v>
      </c>
      <c r="D11" s="28">
        <f>C11*B11</f>
        <v>1060232.94</v>
      </c>
      <c r="E11" s="29">
        <f t="shared" si="0"/>
        <v>12722795.279999999</v>
      </c>
      <c r="G11" s="24" t="s">
        <v>46</v>
      </c>
      <c r="H11" s="26">
        <v>1173522</v>
      </c>
      <c r="I11" s="30">
        <v>0.83699999999999997</v>
      </c>
      <c r="J11" s="26">
        <f>I11*H11</f>
        <v>982237.91399999999</v>
      </c>
      <c r="K11" s="31">
        <f t="shared" si="1"/>
        <v>11786854.968</v>
      </c>
      <c r="M11" s="24" t="s">
        <v>46</v>
      </c>
      <c r="N11" s="26">
        <v>1162062</v>
      </c>
      <c r="O11" s="30">
        <v>0.82799999999999996</v>
      </c>
      <c r="P11" s="26">
        <f>O11*N11</f>
        <v>962187.33599999989</v>
      </c>
      <c r="Q11" s="31">
        <f t="shared" si="2"/>
        <v>11546248.031999998</v>
      </c>
      <c r="S11" s="24" t="s">
        <v>46</v>
      </c>
      <c r="T11" s="26">
        <v>1079538</v>
      </c>
      <c r="U11" s="30">
        <v>0.83</v>
      </c>
      <c r="V11" s="26">
        <f>U11*T11</f>
        <v>896016.53999999992</v>
      </c>
      <c r="W11" s="31">
        <f t="shared" si="3"/>
        <v>10752198.479999999</v>
      </c>
      <c r="Y11" s="24" t="s">
        <v>46</v>
      </c>
      <c r="Z11" s="26">
        <v>998549</v>
      </c>
      <c r="AA11" s="30">
        <v>0.79600000000000004</v>
      </c>
      <c r="AB11" s="26">
        <f>AA11*Z11</f>
        <v>794845.00400000007</v>
      </c>
      <c r="AC11" s="31">
        <f t="shared" si="4"/>
        <v>9538140.0480000004</v>
      </c>
    </row>
    <row r="12" spans="1:29" x14ac:dyDescent="0.3">
      <c r="A12" s="24" t="s">
        <v>47</v>
      </c>
      <c r="B12" s="26">
        <v>2692352</v>
      </c>
      <c r="C12" s="27">
        <v>0.8</v>
      </c>
      <c r="D12" s="28">
        <f>C12*B12</f>
        <v>2153881.6000000001</v>
      </c>
      <c r="E12" s="29">
        <f t="shared" si="0"/>
        <v>25846579.200000003</v>
      </c>
      <c r="G12" s="24" t="s">
        <v>47</v>
      </c>
      <c r="H12" s="26">
        <v>2593903</v>
      </c>
      <c r="I12" s="30">
        <v>0.80400000000000005</v>
      </c>
      <c r="J12" s="26">
        <f>I12*H12</f>
        <v>2085498.0120000001</v>
      </c>
      <c r="K12" s="31">
        <f t="shared" si="1"/>
        <v>25025976.144000001</v>
      </c>
      <c r="M12" s="24" t="s">
        <v>47</v>
      </c>
      <c r="N12" s="26">
        <v>2515509</v>
      </c>
      <c r="O12" s="30">
        <v>0.79</v>
      </c>
      <c r="P12" s="26">
        <f>O12*N12</f>
        <v>1987252.11</v>
      </c>
      <c r="Q12" s="31">
        <f t="shared" si="2"/>
        <v>23847025.32</v>
      </c>
      <c r="S12" s="24" t="s">
        <v>47</v>
      </c>
      <c r="T12" s="26">
        <v>2538758</v>
      </c>
      <c r="U12" s="30">
        <v>0.77600000000000002</v>
      </c>
      <c r="V12" s="26">
        <f>U12*T12</f>
        <v>1970076.2080000001</v>
      </c>
      <c r="W12" s="31">
        <f t="shared" si="3"/>
        <v>23640914.495999999</v>
      </c>
      <c r="Y12" s="24" t="s">
        <v>47</v>
      </c>
      <c r="Z12" s="26">
        <v>2278895</v>
      </c>
      <c r="AA12" s="30">
        <v>0.78</v>
      </c>
      <c r="AB12" s="26">
        <f>AA12*Z12</f>
        <v>1777538.1</v>
      </c>
      <c r="AC12" s="31">
        <f t="shared" si="4"/>
        <v>21330457.200000003</v>
      </c>
    </row>
    <row r="13" spans="1:29" ht="27" customHeight="1" x14ac:dyDescent="0.3">
      <c r="A13" s="3" t="s">
        <v>48</v>
      </c>
      <c r="B13" s="3"/>
      <c r="C13" s="3"/>
      <c r="D13" s="32">
        <f>AVERAGE(D9:D12)</f>
        <v>1073927.26</v>
      </c>
      <c r="E13" s="29">
        <f t="shared" si="0"/>
        <v>12887127.120000001</v>
      </c>
      <c r="G13" s="3" t="s">
        <v>48</v>
      </c>
      <c r="H13" s="3"/>
      <c r="I13" s="3"/>
      <c r="J13" s="26">
        <f>AVERAGE(J9:J12)</f>
        <v>1018004.68525</v>
      </c>
      <c r="K13" s="31">
        <f t="shared" si="1"/>
        <v>12216056.222999999</v>
      </c>
      <c r="M13" s="3" t="s">
        <v>48</v>
      </c>
      <c r="N13" s="3"/>
      <c r="O13" s="3"/>
      <c r="P13" s="26">
        <f>AVERAGE(P9:P12)</f>
        <v>983412.78949999996</v>
      </c>
      <c r="Q13" s="31">
        <f t="shared" si="2"/>
        <v>11800953.473999999</v>
      </c>
      <c r="S13" s="3" t="s">
        <v>48</v>
      </c>
      <c r="T13" s="3"/>
      <c r="U13" s="3"/>
      <c r="V13" s="26">
        <f>AVERAGE(V9:V12)</f>
        <v>943983.36699999997</v>
      </c>
      <c r="W13" s="31">
        <f t="shared" si="3"/>
        <v>11327800.403999999</v>
      </c>
      <c r="Y13" s="3" t="s">
        <v>48</v>
      </c>
      <c r="Z13" s="3"/>
      <c r="AA13" s="3"/>
      <c r="AB13" s="26">
        <f>AVERAGE(AB9:AB12)</f>
        <v>813006.97849999997</v>
      </c>
      <c r="AC13" s="31">
        <f t="shared" si="4"/>
        <v>9756083.7419999987</v>
      </c>
    </row>
    <row r="14" spans="1:29" x14ac:dyDescent="0.3">
      <c r="Q14" s="31"/>
    </row>
    <row r="19" spans="1:6" ht="21" customHeight="1" x14ac:dyDescent="0.3"/>
    <row r="20" spans="1:6" ht="26.25" customHeight="1" x14ac:dyDescent="0.3">
      <c r="A20" s="6" t="s">
        <v>49</v>
      </c>
      <c r="B20" s="6" t="s">
        <v>50</v>
      </c>
      <c r="C20" s="6" t="s">
        <v>26</v>
      </c>
      <c r="D20" s="6" t="s">
        <v>51</v>
      </c>
      <c r="E20" s="25" t="s">
        <v>52</v>
      </c>
      <c r="F20" s="25" t="s">
        <v>53</v>
      </c>
    </row>
    <row r="21" spans="1:6" x14ac:dyDescent="0.3">
      <c r="A21" s="6">
        <v>2024</v>
      </c>
      <c r="B21" s="6">
        <v>242973</v>
      </c>
      <c r="C21" s="32">
        <f>E13</f>
        <v>12887127.120000001</v>
      </c>
      <c r="D21" s="32">
        <f>E8</f>
        <v>1739062.0800000003</v>
      </c>
      <c r="E21" s="33">
        <f>(B21/C21)*100</f>
        <v>1.8853930572541755</v>
      </c>
      <c r="F21" s="33">
        <f>(B21/D21)*100</f>
        <v>13.971496635703767</v>
      </c>
    </row>
    <row r="22" spans="1:6" x14ac:dyDescent="0.3">
      <c r="A22" s="6">
        <v>2023</v>
      </c>
      <c r="B22" s="6">
        <v>223103</v>
      </c>
      <c r="C22" s="26">
        <f>K13</f>
        <v>12216056.222999999</v>
      </c>
      <c r="D22" s="26">
        <f>K8</f>
        <v>1453878.2880000002</v>
      </c>
      <c r="E22" s="33">
        <f>(B22/C22)*100</f>
        <v>1.8263095382612011</v>
      </c>
      <c r="F22" s="33">
        <f>(B22/D22)*100</f>
        <v>15.345369818192097</v>
      </c>
    </row>
    <row r="23" spans="1:6" x14ac:dyDescent="0.3">
      <c r="A23" s="6">
        <v>2022</v>
      </c>
      <c r="B23" s="6">
        <v>212998</v>
      </c>
      <c r="C23" s="26">
        <f>Q13</f>
        <v>11800953.473999999</v>
      </c>
      <c r="D23" s="26">
        <f>Q8</f>
        <v>1437014.0880000002</v>
      </c>
      <c r="E23" s="33">
        <f>(B23/C23)*100</f>
        <v>1.8049219537156869</v>
      </c>
      <c r="F23" s="33">
        <f>(B23/D23)*100</f>
        <v>14.822262480143477</v>
      </c>
    </row>
    <row r="24" spans="1:6" x14ac:dyDescent="0.3">
      <c r="A24" s="6">
        <v>2021</v>
      </c>
      <c r="B24" s="6">
        <v>212579</v>
      </c>
      <c r="C24" s="26">
        <f>W13</f>
        <v>11327800.403999999</v>
      </c>
      <c r="D24" s="26">
        <f>W8</f>
        <v>1349789.976</v>
      </c>
      <c r="E24" s="33">
        <f>(B24/C24)*100</f>
        <v>1.8766132207355586</v>
      </c>
      <c r="F24" s="33">
        <f>(B24/D24)*100</f>
        <v>15.749042723665921</v>
      </c>
    </row>
    <row r="25" spans="1:6" x14ac:dyDescent="0.3">
      <c r="A25" s="6">
        <v>2020</v>
      </c>
      <c r="B25" s="6">
        <f>_xlfn.FORECAST.LINEAR(A25,B26:B27,A26:A27)</f>
        <v>234939</v>
      </c>
      <c r="C25" s="26">
        <f>AC13</f>
        <v>9756083.7419999987</v>
      </c>
      <c r="D25" s="26">
        <f>AC8</f>
        <v>1081701</v>
      </c>
      <c r="E25" s="33">
        <f>(B25/C25)*100</f>
        <v>2.4081281609810934</v>
      </c>
      <c r="F25" s="33">
        <f>(B25/D25)*100</f>
        <v>21.719403051305306</v>
      </c>
    </row>
    <row r="26" spans="1:6" x14ac:dyDescent="0.3">
      <c r="A26" s="6">
        <v>2019</v>
      </c>
      <c r="B26" s="6">
        <v>226462</v>
      </c>
      <c r="C26" s="6"/>
      <c r="D26" s="6"/>
      <c r="E26" s="6"/>
      <c r="F26" s="6"/>
    </row>
    <row r="27" spans="1:6" x14ac:dyDescent="0.3">
      <c r="A27" s="6">
        <v>2018</v>
      </c>
      <c r="B27" s="6">
        <v>217985</v>
      </c>
      <c r="C27" s="6"/>
      <c r="D27" s="6"/>
      <c r="E27" s="6"/>
      <c r="F27" s="6"/>
    </row>
    <row r="29" spans="1:6" x14ac:dyDescent="0.3">
      <c r="C29">
        <f>C21/D21</f>
        <v>7.4103893519430883</v>
      </c>
      <c r="D29" s="34"/>
    </row>
    <row r="30" spans="1:6" x14ac:dyDescent="0.3">
      <c r="D30" s="34"/>
    </row>
  </sheetData>
  <mergeCells count="10">
    <mergeCell ref="A13:C13"/>
    <mergeCell ref="G13:I13"/>
    <mergeCell ref="M13:O13"/>
    <mergeCell ref="S13:U13"/>
    <mergeCell ref="Y13:AA13"/>
    <mergeCell ref="A6:D6"/>
    <mergeCell ref="G6:J6"/>
    <mergeCell ref="M6:P6"/>
    <mergeCell ref="S6:V6"/>
    <mergeCell ref="Y6:AB6"/>
  </mergeCells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9"/>
  <sheetViews>
    <sheetView zoomScaleNormal="100" workbookViewId="0">
      <selection activeCell="I15" sqref="I15"/>
    </sheetView>
  </sheetViews>
  <sheetFormatPr baseColWidth="10" defaultColWidth="10.6640625" defaultRowHeight="14.4" x14ac:dyDescent="0.3"/>
  <cols>
    <col min="3" max="3" width="17.33203125" customWidth="1"/>
    <col min="4" max="4" width="16.6640625" customWidth="1"/>
  </cols>
  <sheetData>
    <row r="1" spans="1:17" ht="45" customHeight="1" x14ac:dyDescent="0.3">
      <c r="A1" s="5">
        <v>2022</v>
      </c>
      <c r="B1" s="5"/>
      <c r="C1" s="5"/>
      <c r="D1" s="5"/>
      <c r="E1" s="5"/>
      <c r="G1" s="5">
        <v>2023</v>
      </c>
      <c r="H1" s="5"/>
      <c r="I1" s="5"/>
      <c r="J1" s="5"/>
      <c r="K1" s="5"/>
      <c r="M1" s="5">
        <v>2024</v>
      </c>
      <c r="N1" s="5"/>
      <c r="O1" s="5"/>
      <c r="P1" s="5"/>
      <c r="Q1" s="5"/>
    </row>
    <row r="2" spans="1:17" ht="72" customHeight="1" x14ac:dyDescent="0.3">
      <c r="A2" s="6" t="s">
        <v>39</v>
      </c>
      <c r="B2" s="25" t="s">
        <v>54</v>
      </c>
      <c r="C2" s="35" t="s">
        <v>55</v>
      </c>
      <c r="D2" s="25" t="s">
        <v>56</v>
      </c>
      <c r="E2" s="6" t="s">
        <v>57</v>
      </c>
      <c r="G2" s="6" t="s">
        <v>39</v>
      </c>
      <c r="H2" s="25" t="s">
        <v>54</v>
      </c>
      <c r="I2" s="35" t="s">
        <v>55</v>
      </c>
      <c r="J2" s="25" t="s">
        <v>56</v>
      </c>
      <c r="K2" s="6" t="s">
        <v>57</v>
      </c>
      <c r="M2" s="6" t="s">
        <v>39</v>
      </c>
      <c r="N2" s="25" t="s">
        <v>54</v>
      </c>
      <c r="O2" s="35" t="s">
        <v>55</v>
      </c>
      <c r="P2" s="25" t="s">
        <v>56</v>
      </c>
      <c r="Q2" s="6" t="s">
        <v>57</v>
      </c>
    </row>
    <row r="3" spans="1:17" x14ac:dyDescent="0.3">
      <c r="A3" s="36" t="s">
        <v>58</v>
      </c>
      <c r="B3" s="6">
        <v>1776.9354701894599</v>
      </c>
      <c r="C3" s="37">
        <v>0.66457149398909798</v>
      </c>
      <c r="D3" s="6">
        <f>C3*B3</f>
        <v>1180.9006601460296</v>
      </c>
      <c r="E3" s="6">
        <f t="shared" ref="E3:E8" si="0">D3*12</f>
        <v>14170.807921752355</v>
      </c>
      <c r="G3" s="36" t="s">
        <v>58</v>
      </c>
      <c r="H3" s="38">
        <v>2496.5286598468801</v>
      </c>
      <c r="I3" s="37">
        <v>0.47960350714842398</v>
      </c>
      <c r="J3" s="6">
        <f>I3*H3</f>
        <v>1197.3439009591186</v>
      </c>
      <c r="K3" s="6">
        <f t="shared" ref="K3:K8" si="1">J3*12</f>
        <v>14368.126811509424</v>
      </c>
      <c r="M3" s="36" t="s">
        <v>58</v>
      </c>
      <c r="N3" s="6">
        <v>2471.5048222871101</v>
      </c>
      <c r="O3" s="37">
        <v>0.480614840089436</v>
      </c>
      <c r="P3" s="6">
        <f>O3*N3</f>
        <v>1187.8418949437894</v>
      </c>
      <c r="Q3" s="6">
        <f t="shared" ref="Q3:Q8" si="2">P3*12</f>
        <v>14254.102739325474</v>
      </c>
    </row>
    <row r="4" spans="1:17" x14ac:dyDescent="0.3">
      <c r="A4" s="36" t="s">
        <v>59</v>
      </c>
      <c r="B4" s="6">
        <v>5274.4287036273099</v>
      </c>
      <c r="C4" s="37">
        <v>0.74795965683330901</v>
      </c>
      <c r="D4" s="6">
        <f>C4*B4</f>
        <v>3945.0598831568377</v>
      </c>
      <c r="E4" s="6">
        <f t="shared" si="0"/>
        <v>47340.718597882049</v>
      </c>
      <c r="G4" s="36" t="s">
        <v>59</v>
      </c>
      <c r="H4" s="38">
        <v>6554.2208091264001</v>
      </c>
      <c r="I4" s="37">
        <v>0.60494973467163504</v>
      </c>
      <c r="J4" s="6">
        <f>I4*H4</f>
        <v>3964.9741394603247</v>
      </c>
      <c r="K4" s="6">
        <f t="shared" si="1"/>
        <v>47579.689673523899</v>
      </c>
      <c r="M4" s="36" t="s">
        <v>59</v>
      </c>
      <c r="N4" s="6">
        <v>6772.6264461190103</v>
      </c>
      <c r="O4" s="37">
        <v>0.64066249717321</v>
      </c>
      <c r="P4" s="6">
        <f>O4*N4</f>
        <v>4338.9677713919282</v>
      </c>
      <c r="Q4" s="6">
        <f t="shared" si="2"/>
        <v>52067.613256703138</v>
      </c>
    </row>
    <row r="5" spans="1:17" x14ac:dyDescent="0.3">
      <c r="A5" s="36" t="s">
        <v>60</v>
      </c>
      <c r="B5" s="6">
        <v>9852.8536989157001</v>
      </c>
      <c r="C5" s="37">
        <v>0.81654670893027304</v>
      </c>
      <c r="D5" s="6">
        <f>C5*B5</f>
        <v>8045.3152614210821</v>
      </c>
      <c r="E5" s="6">
        <f t="shared" si="0"/>
        <v>96543.783137052989</v>
      </c>
      <c r="G5" s="36" t="s">
        <v>60</v>
      </c>
      <c r="H5" s="38">
        <v>10813.9962121349</v>
      </c>
      <c r="I5" s="37">
        <v>0.68421783176622897</v>
      </c>
      <c r="J5" s="6">
        <f>I5*H5</f>
        <v>7399.1290409951544</v>
      </c>
      <c r="K5" s="6">
        <f t="shared" si="1"/>
        <v>88789.548491941852</v>
      </c>
      <c r="M5" s="36" t="s">
        <v>60</v>
      </c>
      <c r="N5" s="6">
        <v>11749.6627260397</v>
      </c>
      <c r="O5" s="37">
        <v>0.72848180282560604</v>
      </c>
      <c r="P5" s="6">
        <f>O5*N5</f>
        <v>8559.4154852582251</v>
      </c>
      <c r="Q5" s="6">
        <f t="shared" si="2"/>
        <v>102712.9858230987</v>
      </c>
    </row>
    <row r="6" spans="1:17" x14ac:dyDescent="0.3">
      <c r="A6" s="36" t="s">
        <v>61</v>
      </c>
      <c r="B6" s="6">
        <v>15465.680089484</v>
      </c>
      <c r="C6" s="37">
        <v>0.85288701008109902</v>
      </c>
      <c r="D6" s="6">
        <f>C6*B6</f>
        <v>13190.477650390792</v>
      </c>
      <c r="E6" s="6">
        <f t="shared" si="0"/>
        <v>158285.73180468951</v>
      </c>
      <c r="G6" s="36" t="s">
        <v>61</v>
      </c>
      <c r="H6" s="38">
        <v>16317.280858337201</v>
      </c>
      <c r="I6" s="37">
        <v>0.74440123883302001</v>
      </c>
      <c r="J6" s="6">
        <f>I6*H6</f>
        <v>12146.604085332536</v>
      </c>
      <c r="K6" s="6">
        <f t="shared" si="1"/>
        <v>145759.24902399041</v>
      </c>
      <c r="M6" s="36" t="s">
        <v>61</v>
      </c>
      <c r="N6" s="6">
        <v>17845.235033471501</v>
      </c>
      <c r="O6" s="37">
        <v>0.75663032203051805</v>
      </c>
      <c r="P6" s="6">
        <f>O6*N6</f>
        <v>13502.245930085825</v>
      </c>
      <c r="Q6" s="6">
        <f t="shared" si="2"/>
        <v>162026.95116102989</v>
      </c>
    </row>
    <row r="7" spans="1:17" x14ac:dyDescent="0.3">
      <c r="A7" s="36" t="s">
        <v>62</v>
      </c>
      <c r="B7" s="6">
        <v>28644.6453478517</v>
      </c>
      <c r="C7" s="37">
        <v>0.85080075306122305</v>
      </c>
      <c r="D7" s="6">
        <f>C7*B7</f>
        <v>24370.885833123884</v>
      </c>
      <c r="E7" s="6">
        <f t="shared" si="0"/>
        <v>292450.6299974866</v>
      </c>
      <c r="G7" s="36" t="s">
        <v>62</v>
      </c>
      <c r="H7" s="38">
        <v>34291.705764295701</v>
      </c>
      <c r="I7" s="37">
        <v>0.77519989861760896</v>
      </c>
      <c r="J7" s="6">
        <f>I7*H7</f>
        <v>26582.926831906905</v>
      </c>
      <c r="K7" s="6">
        <f t="shared" si="1"/>
        <v>318995.12198288285</v>
      </c>
      <c r="M7" s="36" t="s">
        <v>62</v>
      </c>
      <c r="N7" s="6">
        <v>34641.912903956603</v>
      </c>
      <c r="O7" s="37">
        <v>0.77640817032840903</v>
      </c>
      <c r="P7" s="6">
        <f>O7*N7</f>
        <v>26896.264214437047</v>
      </c>
      <c r="Q7" s="6">
        <f t="shared" si="2"/>
        <v>322755.17057324457</v>
      </c>
    </row>
    <row r="8" spans="1:17" x14ac:dyDescent="0.3">
      <c r="A8" s="36" t="s">
        <v>48</v>
      </c>
      <c r="B8" s="6"/>
      <c r="C8" s="6"/>
      <c r="D8" s="6">
        <f>AVERAGE(D4:D7)</f>
        <v>12387.93465702315</v>
      </c>
      <c r="E8" s="6">
        <f t="shared" si="0"/>
        <v>148655.2158842778</v>
      </c>
      <c r="G8" s="36" t="s">
        <v>48</v>
      </c>
      <c r="H8" s="6"/>
      <c r="I8" s="6"/>
      <c r="J8" s="6">
        <f>AVERAGE(J4:J7)</f>
        <v>12523.408524423729</v>
      </c>
      <c r="K8" s="6">
        <f t="shared" si="1"/>
        <v>150280.90229308474</v>
      </c>
      <c r="M8" s="36" t="s">
        <v>48</v>
      </c>
      <c r="N8" s="6"/>
      <c r="O8" s="6"/>
      <c r="P8" s="6">
        <f>AVERAGE(P4:P7)</f>
        <v>13324.223350293256</v>
      </c>
      <c r="Q8" s="6">
        <f t="shared" si="2"/>
        <v>159890.68020351906</v>
      </c>
    </row>
    <row r="10" spans="1:17" x14ac:dyDescent="0.3">
      <c r="D10">
        <f>D7/D3</f>
        <v>20.637541035932855</v>
      </c>
    </row>
    <row r="12" spans="1:17" ht="57" customHeight="1" x14ac:dyDescent="0.3">
      <c r="A12" s="6" t="s">
        <v>49</v>
      </c>
      <c r="B12" s="6" t="s">
        <v>50</v>
      </c>
      <c r="C12" s="6" t="s">
        <v>26</v>
      </c>
      <c r="D12" s="6" t="s">
        <v>51</v>
      </c>
      <c r="E12" s="25" t="s">
        <v>52</v>
      </c>
      <c r="F12" s="25" t="s">
        <v>53</v>
      </c>
    </row>
    <row r="13" spans="1:17" x14ac:dyDescent="0.3">
      <c r="A13" s="6">
        <v>2024</v>
      </c>
      <c r="B13" s="6">
        <v>10476</v>
      </c>
      <c r="C13" s="6">
        <f>Q8</f>
        <v>159890.68020351906</v>
      </c>
      <c r="D13" s="6">
        <f>Q3</f>
        <v>14254.102739325474</v>
      </c>
      <c r="E13" s="37">
        <f>(B13/C13)*100</f>
        <v>6.5519766296981654</v>
      </c>
      <c r="F13" s="37">
        <f>(B13/D13)*100</f>
        <v>73.49462952233317</v>
      </c>
    </row>
    <row r="14" spans="1:17" x14ac:dyDescent="0.3">
      <c r="A14" s="6">
        <v>2023</v>
      </c>
      <c r="B14" s="21">
        <f>_xlfn.FORECAST.LINEAR(A14,B15:B17,A15:A17)</f>
        <v>9464.3333333332557</v>
      </c>
      <c r="C14" s="6">
        <f>K8</f>
        <v>150280.90229308474</v>
      </c>
      <c r="D14" s="6">
        <f>K3</f>
        <v>14368.126811509424</v>
      </c>
      <c r="E14" s="37">
        <f>(B14/C14)*100</f>
        <v>6.2977618505879587</v>
      </c>
      <c r="F14" s="37">
        <f>(B14/D14)*100</f>
        <v>65.870335482785123</v>
      </c>
    </row>
    <row r="15" spans="1:17" x14ac:dyDescent="0.3">
      <c r="A15" s="6">
        <v>2022</v>
      </c>
      <c r="B15" s="6">
        <v>8748</v>
      </c>
      <c r="C15" s="6">
        <f>E8</f>
        <v>148655.2158842778</v>
      </c>
      <c r="D15" s="6">
        <f>E3</f>
        <v>14170.807921752355</v>
      </c>
      <c r="E15" s="37">
        <f>(B15/C15)*100</f>
        <v>5.8847581956424397</v>
      </c>
      <c r="F15" s="37">
        <f>(B15/D15)*100</f>
        <v>61.732542338476811</v>
      </c>
    </row>
    <row r="16" spans="1:17" x14ac:dyDescent="0.3">
      <c r="A16" s="6">
        <v>2021</v>
      </c>
      <c r="B16" s="6">
        <v>7281</v>
      </c>
      <c r="C16" s="6">
        <f>_xlfn.FORECAST.LINEAR(A16,C13:C15,A13:A15)</f>
        <v>141706.80180771835</v>
      </c>
      <c r="D16" s="6">
        <f>_xlfn.FORECAST.LINEAR(A16,D13:D15,A13:A15)</f>
        <v>14181.051006622642</v>
      </c>
      <c r="E16" s="37">
        <f>(B16/C16)*100</f>
        <v>5.1380737601287283</v>
      </c>
      <c r="F16" s="37">
        <f>(B16/D16)*100</f>
        <v>51.343162059002026</v>
      </c>
    </row>
    <row r="17" spans="1:6" x14ac:dyDescent="0.3">
      <c r="A17" s="6">
        <v>2020</v>
      </c>
      <c r="B17" s="6">
        <v>6940</v>
      </c>
      <c r="C17" s="6">
        <f>_xlfn.FORECAST.LINEAR(A17,C13:C16,A13:A16)</f>
        <v>136089.0696480982</v>
      </c>
      <c r="D17" s="6">
        <f>_xlfn.FORECAST.LINEAR(A17,D13:D16,A13:A16)</f>
        <v>14139.403597836077</v>
      </c>
      <c r="E17" s="37">
        <f>(B17/C17)*100</f>
        <v>5.099601325768182</v>
      </c>
      <c r="F17" s="37">
        <f>(B17/D17)*100</f>
        <v>49.082692575959221</v>
      </c>
    </row>
    <row r="19" spans="1:6" x14ac:dyDescent="0.3">
      <c r="C19">
        <f>C13/D13</f>
        <v>11.217169058449297</v>
      </c>
    </row>
  </sheetData>
  <mergeCells count="3">
    <mergeCell ref="A1:E1"/>
    <mergeCell ref="G1:K1"/>
    <mergeCell ref="M1:Q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K21"/>
  <sheetViews>
    <sheetView zoomScaleNormal="100" workbookViewId="0">
      <selection activeCell="B5" sqref="B5"/>
    </sheetView>
  </sheetViews>
  <sheetFormatPr baseColWidth="10" defaultColWidth="10.6640625" defaultRowHeight="14.4" x14ac:dyDescent="0.3"/>
  <cols>
    <col min="3" max="3" width="19.6640625" customWidth="1"/>
    <col min="4" max="4" width="18.5546875" customWidth="1"/>
    <col min="7" max="7" width="11.5546875" customWidth="1"/>
    <col min="10" max="11" width="13.6640625" customWidth="1"/>
  </cols>
  <sheetData>
    <row r="2" spans="1:11" ht="28.5" customHeight="1" x14ac:dyDescent="0.3">
      <c r="A2" s="7" t="s">
        <v>0</v>
      </c>
      <c r="B2" s="7" t="s">
        <v>63</v>
      </c>
      <c r="C2" s="7" t="s">
        <v>64</v>
      </c>
      <c r="D2" s="7" t="s">
        <v>65</v>
      </c>
      <c r="E2" s="7" t="s">
        <v>66</v>
      </c>
      <c r="F2" s="7" t="s">
        <v>67</v>
      </c>
      <c r="G2" s="7" t="s">
        <v>48</v>
      </c>
      <c r="H2" s="15" t="s">
        <v>68</v>
      </c>
      <c r="I2" s="7" t="s">
        <v>69</v>
      </c>
    </row>
    <row r="3" spans="1:11" x14ac:dyDescent="0.3">
      <c r="A3" s="39">
        <v>2020</v>
      </c>
      <c r="B3" s="39">
        <f>_xlfn.FORECAST.LINEAR(A3,B4:B7,A4:A7)</f>
        <v>234.91499999999724</v>
      </c>
      <c r="C3" s="39">
        <f>_xlfn.FORECAST.LINEAR(A3,C4:C7,A4:A7)</f>
        <v>419.71499999999651</v>
      </c>
      <c r="D3" s="6">
        <f>_xlfn.FORECAST.LINEAR(A3,D4:D7,A4:A7)</f>
        <v>583.76999999998952</v>
      </c>
      <c r="E3" s="6">
        <f>_xlfn.FORECAST.LINEAR(A3,E4:E7,A4:A7)</f>
        <v>807.06000000002678</v>
      </c>
      <c r="F3" s="6">
        <f>_xlfn.FORECAST.LINEAR(A3,F4:F7,A4:A7)</f>
        <v>1487.640000000014</v>
      </c>
      <c r="G3" s="40">
        <f>AVERAGE(C3:F3)</f>
        <v>824.54625000000669</v>
      </c>
      <c r="H3" s="6">
        <f>G3*12</f>
        <v>9894.5550000000803</v>
      </c>
      <c r="I3" s="6">
        <f>B3*12</f>
        <v>2818.9799999999668</v>
      </c>
    </row>
    <row r="4" spans="1:11" x14ac:dyDescent="0.3">
      <c r="A4" s="41">
        <v>2021</v>
      </c>
      <c r="B4" s="41">
        <f>81.25*3</f>
        <v>243.75</v>
      </c>
      <c r="C4" s="41">
        <f>147.7*3</f>
        <v>443.09999999999997</v>
      </c>
      <c r="D4" s="41">
        <f>208.23*3</f>
        <v>624.68999999999994</v>
      </c>
      <c r="E4" s="41">
        <f>291.24*3</f>
        <v>873.72</v>
      </c>
      <c r="F4" s="41">
        <f>561.62*3</f>
        <v>1684.8600000000001</v>
      </c>
      <c r="G4" s="40">
        <f>AVERAGE(C4:F4)</f>
        <v>906.59249999999997</v>
      </c>
      <c r="H4" s="41">
        <f>G4*12</f>
        <v>10879.11</v>
      </c>
      <c r="I4" s="41">
        <f>B4*12</f>
        <v>2925</v>
      </c>
    </row>
    <row r="5" spans="1:11" x14ac:dyDescent="0.3">
      <c r="A5" s="41">
        <v>2022</v>
      </c>
      <c r="B5" s="41">
        <f>86.14*3</f>
        <v>258.42</v>
      </c>
      <c r="C5" s="41">
        <f>159.65*3</f>
        <v>478.95000000000005</v>
      </c>
      <c r="D5" s="41">
        <f>224.06*3</f>
        <v>672.18000000000006</v>
      </c>
      <c r="E5" s="41">
        <f>316.1*3</f>
        <v>948.30000000000007</v>
      </c>
      <c r="F5" s="41">
        <f>595.04*3</f>
        <v>1785.12</v>
      </c>
      <c r="G5" s="40">
        <f>AVERAGE(C5:F5)</f>
        <v>971.13750000000005</v>
      </c>
      <c r="H5" s="41">
        <f>G5*12</f>
        <v>11653.650000000001</v>
      </c>
      <c r="I5" s="41">
        <f>B5*12</f>
        <v>3101.04</v>
      </c>
    </row>
    <row r="6" spans="1:11" x14ac:dyDescent="0.3">
      <c r="A6" s="41">
        <v>2023</v>
      </c>
      <c r="B6" s="41">
        <f>92.5*3</f>
        <v>277.5</v>
      </c>
      <c r="C6" s="41">
        <f>171.79*3</f>
        <v>515.37</v>
      </c>
      <c r="D6" s="41">
        <f>248.72*3</f>
        <v>746.16</v>
      </c>
      <c r="E6" s="41">
        <f>357.01*3</f>
        <v>1071.03</v>
      </c>
      <c r="F6" s="41">
        <f>702.36*3</f>
        <v>2107.08</v>
      </c>
      <c r="G6" s="40">
        <f>AVERAGE(C6:F6)</f>
        <v>1109.9099999999999</v>
      </c>
      <c r="H6" s="41">
        <f>G6*12</f>
        <v>13318.919999999998</v>
      </c>
      <c r="I6" s="41">
        <f>B6*12</f>
        <v>3330</v>
      </c>
    </row>
    <row r="7" spans="1:11" x14ac:dyDescent="0.3">
      <c r="A7" s="41">
        <v>2024</v>
      </c>
      <c r="B7" s="41">
        <f>92.03*3</f>
        <v>276.09000000000003</v>
      </c>
      <c r="C7" s="41">
        <f>175.24*3</f>
        <v>525.72</v>
      </c>
      <c r="D7" s="41">
        <f>251.34*3</f>
        <v>754.02</v>
      </c>
      <c r="E7" s="41">
        <f>360.54*3</f>
        <v>1081.6200000000001</v>
      </c>
      <c r="F7" s="41">
        <f>726.52*3</f>
        <v>2179.56</v>
      </c>
      <c r="G7" s="40">
        <f>AVERAGE(C7:F7)</f>
        <v>1135.23</v>
      </c>
      <c r="H7" s="41">
        <f>G7*12</f>
        <v>13622.76</v>
      </c>
      <c r="I7" s="41">
        <f>B7*12</f>
        <v>3313.0800000000004</v>
      </c>
    </row>
    <row r="10" spans="1:11" ht="28.5" customHeight="1" x14ac:dyDescent="0.3">
      <c r="B10" s="7" t="s">
        <v>0</v>
      </c>
      <c r="C10" s="7" t="s">
        <v>70</v>
      </c>
      <c r="D10" s="15" t="s">
        <v>71</v>
      </c>
      <c r="E10" s="7" t="s">
        <v>11</v>
      </c>
      <c r="F10" s="7" t="s">
        <v>72</v>
      </c>
      <c r="G10" s="7" t="s">
        <v>73</v>
      </c>
      <c r="H10" s="15" t="s">
        <v>68</v>
      </c>
      <c r="I10" s="7" t="s">
        <v>69</v>
      </c>
      <c r="J10" s="7" t="s">
        <v>74</v>
      </c>
      <c r="K10" s="7" t="s">
        <v>75</v>
      </c>
    </row>
    <row r="11" spans="1:11" x14ac:dyDescent="0.3">
      <c r="B11" s="42">
        <v>2024</v>
      </c>
      <c r="C11" s="17">
        <v>2661740000</v>
      </c>
      <c r="D11" s="40">
        <v>0.1765901</v>
      </c>
      <c r="E11" s="6">
        <f>D11*C11</f>
        <v>470036932.77399999</v>
      </c>
      <c r="F11" s="6">
        <v>1961053</v>
      </c>
      <c r="G11" s="6">
        <f t="shared" ref="G11:G17" si="0">E11/F11</f>
        <v>239.68599154331881</v>
      </c>
      <c r="H11" s="6">
        <f>H7</f>
        <v>13622.76</v>
      </c>
      <c r="I11" s="6">
        <f>I7</f>
        <v>3313.0800000000004</v>
      </c>
      <c r="J11" s="6">
        <f>(G11/H11)*100</f>
        <v>1.7594525011328015</v>
      </c>
      <c r="K11" s="6">
        <f>(G11/I11)*100</f>
        <v>7.2345367918468257</v>
      </c>
    </row>
    <row r="12" spans="1:11" x14ac:dyDescent="0.3">
      <c r="B12" s="42">
        <v>2023</v>
      </c>
      <c r="C12" s="17">
        <v>2469820000</v>
      </c>
      <c r="D12" s="40">
        <v>0.17814630000000001</v>
      </c>
      <c r="E12" s="6">
        <f>D12*C12</f>
        <v>439989294.66600001</v>
      </c>
      <c r="F12" s="6">
        <v>1910891</v>
      </c>
      <c r="G12" s="6">
        <f t="shared" si="0"/>
        <v>230.25347582148851</v>
      </c>
      <c r="H12" s="6">
        <f>H6</f>
        <v>13318.919999999998</v>
      </c>
      <c r="I12" s="6">
        <f>I6</f>
        <v>3330</v>
      </c>
      <c r="J12" s="6">
        <f>(G12/H12)*100</f>
        <v>1.7287698688894335</v>
      </c>
      <c r="K12" s="6">
        <f>(G12/I12)*100</f>
        <v>6.9145187934380932</v>
      </c>
    </row>
    <row r="13" spans="1:11" x14ac:dyDescent="0.3">
      <c r="B13" s="42">
        <v>2022</v>
      </c>
      <c r="C13" s="6">
        <v>2254700000</v>
      </c>
      <c r="D13" s="40">
        <v>0.17971619999999999</v>
      </c>
      <c r="E13" s="6">
        <f>D13*C13</f>
        <v>405206116.13999999</v>
      </c>
      <c r="F13" s="6">
        <v>1864350</v>
      </c>
      <c r="G13" s="6">
        <f t="shared" si="0"/>
        <v>217.34444505591762</v>
      </c>
      <c r="H13" s="6">
        <f>H5</f>
        <v>11653.650000000001</v>
      </c>
      <c r="I13" s="6">
        <f>I5</f>
        <v>3101.04</v>
      </c>
      <c r="J13" s="6">
        <f>(G13/H13)*100</f>
        <v>1.865033230412082</v>
      </c>
      <c r="K13" s="6">
        <f>(G13/I13)*100</f>
        <v>7.0087598049659983</v>
      </c>
    </row>
    <row r="14" spans="1:11" x14ac:dyDescent="0.3">
      <c r="B14" s="6">
        <v>2021</v>
      </c>
      <c r="C14" s="6">
        <v>2214030000</v>
      </c>
      <c r="D14" s="6">
        <v>0.18129999999999999</v>
      </c>
      <c r="E14" s="6">
        <f>C14*D14</f>
        <v>401403639</v>
      </c>
      <c r="F14" s="6">
        <v>1816530</v>
      </c>
      <c r="G14" s="6">
        <f t="shared" si="0"/>
        <v>220.97275519809747</v>
      </c>
      <c r="H14" s="6">
        <f>H4</f>
        <v>10879.11</v>
      </c>
      <c r="I14" s="6">
        <f>I4</f>
        <v>2925</v>
      </c>
      <c r="J14" s="6">
        <f>(G14/H14)*100</f>
        <v>2.0311657405623942</v>
      </c>
      <c r="K14" s="6">
        <f>(G14/I14)*100</f>
        <v>7.5546241093366664</v>
      </c>
    </row>
    <row r="15" spans="1:11" x14ac:dyDescent="0.3">
      <c r="B15" s="6">
        <v>2020</v>
      </c>
      <c r="C15" s="6">
        <v>2090310000</v>
      </c>
      <c r="D15" s="6">
        <v>0.1721</v>
      </c>
      <c r="E15" s="6">
        <f>C15*D15</f>
        <v>359742351</v>
      </c>
      <c r="F15" s="6">
        <v>1762102</v>
      </c>
      <c r="G15" s="6">
        <f t="shared" si="0"/>
        <v>204.15523675700953</v>
      </c>
      <c r="H15" s="6">
        <f>H3</f>
        <v>9894.5550000000803</v>
      </c>
      <c r="I15" s="6">
        <f>I3</f>
        <v>2818.9799999999668</v>
      </c>
      <c r="J15" s="6">
        <f>(G15/H15)*100</f>
        <v>2.0633089285673574</v>
      </c>
      <c r="K15" s="6">
        <f>(G15/I15)*100</f>
        <v>7.2421669099111003</v>
      </c>
    </row>
    <row r="16" spans="1:11" x14ac:dyDescent="0.3">
      <c r="B16" s="6">
        <v>2019</v>
      </c>
      <c r="C16" s="6">
        <v>1975540000</v>
      </c>
      <c r="D16" s="6">
        <v>0.20349999999999999</v>
      </c>
      <c r="E16" s="6">
        <f>C16*D16</f>
        <v>402022390</v>
      </c>
      <c r="F16" s="6">
        <v>1723155</v>
      </c>
      <c r="G16" s="6">
        <f t="shared" si="0"/>
        <v>233.30599394714926</v>
      </c>
      <c r="H16" s="6"/>
      <c r="I16" s="6"/>
      <c r="J16" s="6"/>
      <c r="K16" s="6"/>
    </row>
    <row r="17" spans="2:11" x14ac:dyDescent="0.3">
      <c r="B17" s="6">
        <v>2018</v>
      </c>
      <c r="C17" s="6">
        <v>1915540000</v>
      </c>
      <c r="D17" s="6">
        <v>0.18970000000000001</v>
      </c>
      <c r="E17" s="6">
        <f>D17*C17</f>
        <v>363377938</v>
      </c>
      <c r="F17" s="6">
        <v>1684069</v>
      </c>
      <c r="G17" s="6">
        <f t="shared" si="0"/>
        <v>215.77378242815468</v>
      </c>
      <c r="H17" s="6"/>
      <c r="I17" s="6"/>
      <c r="J17" s="6"/>
      <c r="K17" s="6"/>
    </row>
    <row r="21" spans="2:11" x14ac:dyDescent="0.3">
      <c r="D21">
        <f>H11/I11</f>
        <v>4.1118113658589586</v>
      </c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4"/>
  <sheetViews>
    <sheetView zoomScale="75" zoomScaleNormal="75" workbookViewId="0">
      <selection activeCell="H17" sqref="H17"/>
    </sheetView>
  </sheetViews>
  <sheetFormatPr baseColWidth="10" defaultColWidth="10.6640625" defaultRowHeight="14.4" x14ac:dyDescent="0.3"/>
  <cols>
    <col min="2" max="2" width="13.6640625" customWidth="1"/>
    <col min="3" max="3" width="11.5546875" customWidth="1"/>
    <col min="4" max="4" width="11.33203125" customWidth="1"/>
    <col min="5" max="5" width="12.44140625" customWidth="1"/>
    <col min="6" max="6" width="15.109375" customWidth="1"/>
    <col min="7" max="7" width="15.6640625" customWidth="1"/>
    <col min="8" max="8" width="13.6640625" customWidth="1"/>
    <col min="12" max="12" width="11.5546875" customWidth="1"/>
    <col min="15" max="15" width="11.5546875" customWidth="1"/>
    <col min="17" max="17" width="11.5546875" customWidth="1"/>
  </cols>
  <sheetData>
    <row r="1" spans="1:17" ht="32.25" customHeight="1" x14ac:dyDescent="0.3">
      <c r="A1" s="5" t="s">
        <v>76</v>
      </c>
      <c r="B1" s="5"/>
      <c r="D1" s="5" t="s">
        <v>76</v>
      </c>
      <c r="E1" s="5"/>
      <c r="F1" s="5"/>
    </row>
    <row r="2" spans="1:17" ht="57" customHeight="1" x14ac:dyDescent="0.3">
      <c r="A2" s="6" t="s">
        <v>77</v>
      </c>
      <c r="B2" s="43" t="s">
        <v>78</v>
      </c>
      <c r="D2" s="6" t="s">
        <v>79</v>
      </c>
      <c r="E2" s="43" t="s">
        <v>78</v>
      </c>
      <c r="F2" s="25" t="s">
        <v>80</v>
      </c>
      <c r="H2" s="6" t="s">
        <v>81</v>
      </c>
      <c r="I2" s="6" t="s">
        <v>82</v>
      </c>
      <c r="J2" s="6" t="s">
        <v>83</v>
      </c>
      <c r="K2" s="6" t="s">
        <v>84</v>
      </c>
      <c r="L2" s="6" t="s">
        <v>85</v>
      </c>
      <c r="M2" s="6" t="s">
        <v>86</v>
      </c>
      <c r="N2" s="6" t="s">
        <v>87</v>
      </c>
      <c r="O2" s="6" t="s">
        <v>88</v>
      </c>
      <c r="P2" s="25" t="s">
        <v>89</v>
      </c>
      <c r="Q2" s="25" t="s">
        <v>90</v>
      </c>
    </row>
    <row r="3" spans="1:17" x14ac:dyDescent="0.3">
      <c r="A3" s="6" t="s">
        <v>83</v>
      </c>
      <c r="B3" s="6">
        <v>1737.5</v>
      </c>
      <c r="D3" s="6" t="s">
        <v>83</v>
      </c>
      <c r="E3" s="6">
        <f>(B3+B4)/2</f>
        <v>2233.4499999999998</v>
      </c>
      <c r="F3" s="6">
        <f>(E3*73.7)/100</f>
        <v>1646.0526499999999</v>
      </c>
      <c r="H3" s="6">
        <v>2024</v>
      </c>
      <c r="I3" s="6">
        <v>1.7</v>
      </c>
      <c r="J3" s="22">
        <f>J4*(1+($I$3/100))</f>
        <v>1674.0355450499997</v>
      </c>
      <c r="K3" s="22">
        <f>K4*(1+($I$3/100))</f>
        <v>2846.4862832999997</v>
      </c>
      <c r="L3" s="22">
        <f>L4*(1+($I$3/100))</f>
        <v>3976.6261095</v>
      </c>
      <c r="M3" s="22">
        <f>M4*(1+($I$3/100))</f>
        <v>5781.8292295500005</v>
      </c>
      <c r="N3" s="22">
        <f>N4*(1+($I$3/100))</f>
        <v>12104.368679699999</v>
      </c>
      <c r="O3" s="22">
        <f>AVERAGE(K3:N3)</f>
        <v>6177.3275755124996</v>
      </c>
      <c r="P3" s="22">
        <f>O3*12</f>
        <v>74127.930906149995</v>
      </c>
      <c r="Q3" s="6">
        <f>J3*12</f>
        <v>20088.426540599998</v>
      </c>
    </row>
    <row r="4" spans="1:17" x14ac:dyDescent="0.3">
      <c r="A4" s="6" t="s">
        <v>84</v>
      </c>
      <c r="B4" s="6">
        <v>2729.4</v>
      </c>
      <c r="D4" s="6" t="s">
        <v>84</v>
      </c>
      <c r="E4" s="6">
        <f>(B5+B6)/2</f>
        <v>3797.7</v>
      </c>
      <c r="F4" s="6">
        <f>(E4*73.7)/100</f>
        <v>2798.9049</v>
      </c>
      <c r="H4" s="6">
        <v>2023</v>
      </c>
      <c r="I4" s="6">
        <v>4.18</v>
      </c>
      <c r="J4" s="22">
        <f>F3</f>
        <v>1646.0526499999999</v>
      </c>
      <c r="K4" s="22">
        <f>F4</f>
        <v>2798.9049</v>
      </c>
      <c r="L4" s="22">
        <f>F5</f>
        <v>3910.1535000000003</v>
      </c>
      <c r="M4" s="22">
        <f>F6</f>
        <v>5685.1811500000013</v>
      </c>
      <c r="N4" s="22">
        <f>F7</f>
        <v>11902.034100000001</v>
      </c>
      <c r="O4" s="22">
        <f>AVERAGE(K4:N4)</f>
        <v>6074.0684125000007</v>
      </c>
      <c r="P4" s="22">
        <f>O4*12</f>
        <v>72888.820950000008</v>
      </c>
      <c r="Q4" s="6">
        <f>J4*12</f>
        <v>19752.631799999999</v>
      </c>
    </row>
    <row r="5" spans="1:17" x14ac:dyDescent="0.3">
      <c r="A5" s="6" t="s">
        <v>85</v>
      </c>
      <c r="B5" s="6">
        <v>3458.6</v>
      </c>
      <c r="D5" s="6" t="s">
        <v>85</v>
      </c>
      <c r="E5" s="6">
        <f>(B7+B8)/2</f>
        <v>5305.5</v>
      </c>
      <c r="F5" s="6">
        <f>(E5*73.7)/100</f>
        <v>3910.1535000000003</v>
      </c>
      <c r="H5" s="6">
        <v>2022</v>
      </c>
      <c r="I5" s="6">
        <v>9.24</v>
      </c>
      <c r="J5" s="6">
        <f>J4/(1+($I$4/100))</f>
        <v>1580.0083029372238</v>
      </c>
      <c r="K5" s="6">
        <f>K4/(1+($I$4/100))</f>
        <v>2686.604818583221</v>
      </c>
      <c r="L5" s="6">
        <f>L4/(1+($I$4/100))</f>
        <v>3753.2669418314458</v>
      </c>
      <c r="M5" s="6">
        <f>M4/(1+($I$4/100))</f>
        <v>5457.0753983490122</v>
      </c>
      <c r="N5" s="6">
        <f>N4/(1+($I$4/100))</f>
        <v>11424.490401228642</v>
      </c>
      <c r="O5" s="22">
        <f>AVERAGE(K5:N5)</f>
        <v>5830.3593899980806</v>
      </c>
      <c r="P5" s="22">
        <f>O5*12</f>
        <v>69964.312679976967</v>
      </c>
      <c r="Q5" s="6">
        <f>J5*12</f>
        <v>18960.099635246686</v>
      </c>
    </row>
    <row r="6" spans="1:17" x14ac:dyDescent="0.3">
      <c r="A6" s="6" t="s">
        <v>86</v>
      </c>
      <c r="B6" s="6">
        <v>4136.8</v>
      </c>
      <c r="D6" s="6" t="s">
        <v>86</v>
      </c>
      <c r="E6" s="6">
        <f>(B9+B10)/2</f>
        <v>7713.9500000000007</v>
      </c>
      <c r="F6" s="6">
        <f>(E6*73.7)/100</f>
        <v>5685.1811500000013</v>
      </c>
      <c r="H6" s="6">
        <v>2021</v>
      </c>
      <c r="I6" s="6">
        <v>3.07</v>
      </c>
      <c r="J6" s="6">
        <f>J5/(1+($I$5/100))</f>
        <v>1446.3642465554958</v>
      </c>
      <c r="K6" s="6">
        <f>K5/(1+($I$5/100))</f>
        <v>2459.3599584247718</v>
      </c>
      <c r="L6" s="6">
        <f>L5/(1+($I$5/100))</f>
        <v>3435.7991045692474</v>
      </c>
      <c r="M6" s="6">
        <f>M5/(1+($I$5/100))</f>
        <v>4995.4919428313915</v>
      </c>
      <c r="N6" s="6">
        <f>N5/(1+($I$5/100))</f>
        <v>10458.156720275212</v>
      </c>
      <c r="O6" s="22">
        <f>AVERAGE(K6:N6)</f>
        <v>5337.2019315251555</v>
      </c>
      <c r="P6" s="22">
        <f>O6*12</f>
        <v>64046.423178301862</v>
      </c>
      <c r="Q6" s="6">
        <f>J6*12</f>
        <v>17356.37095866595</v>
      </c>
    </row>
    <row r="7" spans="1:17" x14ac:dyDescent="0.3">
      <c r="A7" s="6" t="s">
        <v>87</v>
      </c>
      <c r="B7" s="6">
        <v>4863.3</v>
      </c>
      <c r="D7" s="6" t="s">
        <v>87</v>
      </c>
      <c r="E7" s="6">
        <f>(B11+B12)/2</f>
        <v>16149.300000000001</v>
      </c>
      <c r="F7" s="6">
        <f>(E7*73.7)/100</f>
        <v>11902.034100000001</v>
      </c>
      <c r="H7" s="6">
        <v>2020</v>
      </c>
      <c r="I7" s="6">
        <v>4.82</v>
      </c>
      <c r="J7" s="6">
        <f>J6/(1+($I$6/100))</f>
        <v>1403.2834448001317</v>
      </c>
      <c r="K7" s="6">
        <f>K6/(1+($I$6/100))</f>
        <v>2386.1064892061431</v>
      </c>
      <c r="L7" s="6">
        <f>L6/(1+($I$6/100))</f>
        <v>3333.4618264958258</v>
      </c>
      <c r="M7" s="6">
        <f>M6/(1+($I$6/100))</f>
        <v>4846.6983048718266</v>
      </c>
      <c r="N7" s="6">
        <f>N6/(1+($I$6/100))</f>
        <v>10146.654429295832</v>
      </c>
      <c r="O7" s="22">
        <f>AVERAGE(K7:N7)</f>
        <v>5178.2302624674066</v>
      </c>
      <c r="P7" s="22">
        <f>O7*12</f>
        <v>62138.76314960888</v>
      </c>
      <c r="Q7" s="6">
        <f>J7*12</f>
        <v>16839.401337601579</v>
      </c>
    </row>
    <row r="8" spans="1:17" x14ac:dyDescent="0.3">
      <c r="A8" s="6" t="s">
        <v>91</v>
      </c>
      <c r="B8" s="6">
        <v>5747.7</v>
      </c>
      <c r="H8" s="6">
        <v>2019</v>
      </c>
      <c r="I8" s="6"/>
      <c r="J8" s="6">
        <f t="shared" ref="J8:Q8" si="0">J7/(1+($I$7/100))</f>
        <v>1338.755432932772</v>
      </c>
      <c r="K8" s="6">
        <f t="shared" si="0"/>
        <v>2276.3847445202664</v>
      </c>
      <c r="L8" s="6">
        <f t="shared" si="0"/>
        <v>3180.1772815262598</v>
      </c>
      <c r="M8" s="6">
        <f t="shared" si="0"/>
        <v>4623.8297127187816</v>
      </c>
      <c r="N8" s="6">
        <f t="shared" si="0"/>
        <v>9680.0748228351749</v>
      </c>
      <c r="O8" s="6">
        <f t="shared" si="0"/>
        <v>4940.1166404001206</v>
      </c>
      <c r="P8" s="6">
        <f t="shared" si="0"/>
        <v>59281.39968480145</v>
      </c>
      <c r="Q8" s="6">
        <f t="shared" si="0"/>
        <v>16065.065195193263</v>
      </c>
    </row>
    <row r="9" spans="1:17" x14ac:dyDescent="0.3">
      <c r="A9" s="6" t="s">
        <v>92</v>
      </c>
      <c r="B9" s="6">
        <v>6899.3</v>
      </c>
    </row>
    <row r="10" spans="1:17" x14ac:dyDescent="0.3">
      <c r="A10" s="6" t="s">
        <v>93</v>
      </c>
      <c r="B10" s="6">
        <v>8528.6</v>
      </c>
    </row>
    <row r="11" spans="1:17" x14ac:dyDescent="0.3">
      <c r="A11" s="6" t="s">
        <v>94</v>
      </c>
      <c r="B11" s="6">
        <v>11109.2</v>
      </c>
    </row>
    <row r="12" spans="1:17" x14ac:dyDescent="0.3">
      <c r="A12" s="6" t="s">
        <v>95</v>
      </c>
      <c r="B12" s="6">
        <v>21189.4</v>
      </c>
    </row>
    <row r="14" spans="1:17" ht="15" customHeight="1" x14ac:dyDescent="0.3"/>
    <row r="15" spans="1:17" ht="12" customHeight="1" x14ac:dyDescent="0.3"/>
    <row r="16" spans="1:17" ht="54" customHeight="1" x14ac:dyDescent="0.3">
      <c r="A16" s="6" t="s">
        <v>49</v>
      </c>
      <c r="B16" s="6" t="s">
        <v>96</v>
      </c>
      <c r="C16" s="6" t="s">
        <v>97</v>
      </c>
      <c r="D16" s="6" t="s">
        <v>73</v>
      </c>
      <c r="E16" s="25" t="s">
        <v>89</v>
      </c>
      <c r="F16" s="25" t="s">
        <v>98</v>
      </c>
      <c r="G16" s="25" t="s">
        <v>52</v>
      </c>
      <c r="H16" s="25" t="s">
        <v>52</v>
      </c>
    </row>
    <row r="17" spans="1:8" x14ac:dyDescent="0.3">
      <c r="A17" s="6">
        <v>2024</v>
      </c>
      <c r="B17" s="6">
        <f>6791669*1000</f>
        <v>6791669000</v>
      </c>
      <c r="C17" s="6">
        <v>3847200</v>
      </c>
      <c r="D17" s="22">
        <f>B17/C17</f>
        <v>1765.3537637762529</v>
      </c>
      <c r="E17" s="22">
        <f t="shared" ref="E17:F21" si="1">P3</f>
        <v>74127.930906149995</v>
      </c>
      <c r="F17" s="6">
        <f t="shared" si="1"/>
        <v>20088.426540599998</v>
      </c>
      <c r="G17" s="44">
        <f>(D17/E17)*100</f>
        <v>2.3814960733374404</v>
      </c>
      <c r="H17" s="45">
        <f>(D17/F17)*100</f>
        <v>8.7879145746350993</v>
      </c>
    </row>
    <row r="18" spans="1:8" x14ac:dyDescent="0.3">
      <c r="A18" s="6">
        <v>2023</v>
      </c>
      <c r="B18" s="6">
        <f>6547646*1000</f>
        <v>6547646000</v>
      </c>
      <c r="C18" s="6">
        <v>3794182</v>
      </c>
      <c r="D18" s="22">
        <f>B18/C18</f>
        <v>1725.7068849095799</v>
      </c>
      <c r="E18" s="22">
        <f t="shared" si="1"/>
        <v>72888.820950000008</v>
      </c>
      <c r="F18" s="6">
        <f t="shared" si="1"/>
        <v>19752.631799999999</v>
      </c>
      <c r="G18" s="44">
        <f>(D18/E18)*100</f>
        <v>2.3675878720735155</v>
      </c>
      <c r="H18" s="45">
        <f>(D18/F18)*100</f>
        <v>8.7365921786158136</v>
      </c>
    </row>
    <row r="19" spans="1:8" x14ac:dyDescent="0.3">
      <c r="A19" s="6">
        <v>2022</v>
      </c>
      <c r="B19" s="6">
        <f>6067646.4*1000</f>
        <v>6067646400</v>
      </c>
      <c r="C19" s="6">
        <v>3696152</v>
      </c>
      <c r="D19" s="22">
        <f>B19/C19</f>
        <v>1641.6117086093861</v>
      </c>
      <c r="E19" s="22">
        <f t="shared" si="1"/>
        <v>69964.312679976967</v>
      </c>
      <c r="F19" s="6">
        <f t="shared" si="1"/>
        <v>18960.099635246686</v>
      </c>
      <c r="G19" s="44">
        <f>(D19/E19)*100</f>
        <v>2.3463558001609552</v>
      </c>
      <c r="H19" s="45">
        <f>(D19/F19)*100</f>
        <v>8.6582441030934341</v>
      </c>
    </row>
    <row r="20" spans="1:8" x14ac:dyDescent="0.3">
      <c r="A20" s="6">
        <v>2021</v>
      </c>
      <c r="B20" s="6">
        <f>5393244*1000</f>
        <v>5393244000</v>
      </c>
      <c r="C20" s="6">
        <v>3530523</v>
      </c>
      <c r="D20" s="22">
        <f>B20/C20</f>
        <v>1527.6048336181352</v>
      </c>
      <c r="E20" s="22">
        <f t="shared" si="1"/>
        <v>64046.423178301862</v>
      </c>
      <c r="F20" s="6">
        <f t="shared" si="1"/>
        <v>17356.37095866595</v>
      </c>
      <c r="G20" s="44">
        <f>(D20/E20)*100</f>
        <v>2.3851524531906554</v>
      </c>
      <c r="H20" s="45">
        <f>(D20/F20)*100</f>
        <v>8.8014069142455718</v>
      </c>
    </row>
    <row r="21" spans="1:8" x14ac:dyDescent="0.3">
      <c r="A21" s="6">
        <v>2020</v>
      </c>
      <c r="B21" s="37">
        <f>_xlfn.FORECAST.LINEAR(A21,B17:B20,A17:A20)</f>
        <v>5031232700</v>
      </c>
      <c r="C21" s="6">
        <f>_xlfn.FORECAST.LINEAR(A21,C17:C20,A17:A20)</f>
        <v>3454999</v>
      </c>
      <c r="D21" s="22">
        <f>B21/C21</f>
        <v>1456.218279657968</v>
      </c>
      <c r="E21" s="22">
        <f t="shared" si="1"/>
        <v>62138.76314960888</v>
      </c>
      <c r="F21" s="6">
        <f t="shared" si="1"/>
        <v>16839.401337601579</v>
      </c>
      <c r="G21" s="44">
        <f>(D21/E21)*100</f>
        <v>2.3434941505866358</v>
      </c>
      <c r="H21" s="45">
        <f>(D21/F21)*100</f>
        <v>8.6476843829732957</v>
      </c>
    </row>
    <row r="24" spans="1:8" x14ac:dyDescent="0.3">
      <c r="E24">
        <f>E17/F17</f>
        <v>3.6900814882804633</v>
      </c>
    </row>
  </sheetData>
  <mergeCells count="2">
    <mergeCell ref="A1:B1"/>
    <mergeCell ref="D1: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K25"/>
  <sheetViews>
    <sheetView zoomScaleNormal="100" workbookViewId="0">
      <selection activeCell="K15" sqref="K15"/>
    </sheetView>
  </sheetViews>
  <sheetFormatPr baseColWidth="10" defaultColWidth="10.6640625" defaultRowHeight="14.4" x14ac:dyDescent="0.3"/>
  <cols>
    <col min="5" max="5" width="17.21875" customWidth="1"/>
    <col min="7" max="7" width="14.77734375" customWidth="1"/>
    <col min="8" max="8" width="14.44140625" customWidth="1"/>
    <col min="9" max="9" width="14.77734375" customWidth="1"/>
    <col min="10" max="10" width="13.6640625" customWidth="1"/>
  </cols>
  <sheetData>
    <row r="2" spans="1:11" x14ac:dyDescent="0.3">
      <c r="A2" s="6" t="s">
        <v>0</v>
      </c>
      <c r="B2" s="42" t="s">
        <v>99</v>
      </c>
      <c r="C2" s="42" t="s">
        <v>100</v>
      </c>
      <c r="D2" s="42" t="s">
        <v>101</v>
      </c>
      <c r="E2" s="42" t="s">
        <v>102</v>
      </c>
      <c r="F2" s="42" t="s">
        <v>103</v>
      </c>
      <c r="G2" s="42" t="s">
        <v>104</v>
      </c>
      <c r="H2" s="42" t="s">
        <v>105</v>
      </c>
      <c r="I2" s="42" t="s">
        <v>106</v>
      </c>
      <c r="J2" s="42" t="s">
        <v>107</v>
      </c>
      <c r="K2" s="42" t="s">
        <v>108</v>
      </c>
    </row>
    <row r="3" spans="1:11" x14ac:dyDescent="0.3">
      <c r="A3" s="6">
        <v>2024</v>
      </c>
      <c r="B3" s="46">
        <v>28.217001121242799</v>
      </c>
      <c r="C3" s="46">
        <v>75.245334454576195</v>
      </c>
      <c r="D3" s="46">
        <v>122.273662181695</v>
      </c>
      <c r="E3" s="46">
        <v>178.70766442418099</v>
      </c>
      <c r="F3" s="46">
        <v>235.14166666666699</v>
      </c>
      <c r="G3" s="46">
        <v>324.49550448497098</v>
      </c>
      <c r="H3" s="46">
        <v>437.36350896994298</v>
      </c>
      <c r="I3" s="46">
        <v>573.74565769672404</v>
      </c>
      <c r="J3" s="46">
        <v>813.590130786896</v>
      </c>
      <c r="K3" s="46">
        <v>1914.0532025464399</v>
      </c>
    </row>
    <row r="4" spans="1:11" x14ac:dyDescent="0.3">
      <c r="A4" s="6">
        <v>2023</v>
      </c>
      <c r="B4" s="46">
        <v>32.745066109021501</v>
      </c>
      <c r="C4" s="46">
        <v>79.523735563914002</v>
      </c>
      <c r="D4" s="46">
        <v>135.65813779449499</v>
      </c>
      <c r="E4" s="46">
        <v>187.11466666666701</v>
      </c>
      <c r="F4" s="46">
        <v>247.926942255656</v>
      </c>
      <c r="G4" s="46">
        <v>322.772804461161</v>
      </c>
      <c r="H4" s="46">
        <v>439.71944882202098</v>
      </c>
      <c r="I4" s="46">
        <v>566.02188451131201</v>
      </c>
      <c r="J4" s="46">
        <v>823.30455117797896</v>
      </c>
      <c r="K4" s="46">
        <v>1843.07953804525</v>
      </c>
    </row>
    <row r="5" spans="1:11" x14ac:dyDescent="0.3">
      <c r="A5" s="6">
        <v>2022</v>
      </c>
      <c r="B5" s="46">
        <v>27.917401109337799</v>
      </c>
      <c r="C5" s="46">
        <v>74.446401109337799</v>
      </c>
      <c r="D5" s="46">
        <v>125.628302218676</v>
      </c>
      <c r="E5" s="46">
        <v>181.46310443735101</v>
      </c>
      <c r="F5" s="46">
        <v>237.29789556264899</v>
      </c>
      <c r="G5" s="46">
        <v>316.39720887470202</v>
      </c>
      <c r="H5" s="46">
        <v>428.06679112529798</v>
      </c>
      <c r="I5" s="46">
        <v>572.30670887470205</v>
      </c>
      <c r="J5" s="46">
        <v>814.25750000000005</v>
      </c>
      <c r="K5" s="46">
        <v>1875.1186645011901</v>
      </c>
    </row>
    <row r="6" spans="1:11" x14ac:dyDescent="0.3">
      <c r="A6" s="6">
        <v>2021</v>
      </c>
      <c r="B6" s="46">
        <v>27.767601103385299</v>
      </c>
      <c r="C6" s="46">
        <v>69.418999999999997</v>
      </c>
      <c r="D6" s="46">
        <v>106.442464459896</v>
      </c>
      <c r="E6" s="46">
        <v>161.97766666666701</v>
      </c>
      <c r="F6" s="46">
        <v>212.884928919792</v>
      </c>
      <c r="G6" s="46">
        <v>286.93185783958398</v>
      </c>
      <c r="H6" s="46">
        <v>407.25814216041601</v>
      </c>
      <c r="I6" s="46">
        <v>550.72404901250195</v>
      </c>
      <c r="J6" s="46">
        <v>809.88833333333298</v>
      </c>
      <c r="K6" s="46">
        <v>1994.63919605001</v>
      </c>
    </row>
    <row r="9" spans="1:11" x14ac:dyDescent="0.3">
      <c r="B9" s="20" t="s">
        <v>31</v>
      </c>
      <c r="C9" s="20" t="s">
        <v>58</v>
      </c>
      <c r="D9" s="20" t="s">
        <v>59</v>
      </c>
      <c r="E9" s="20" t="s">
        <v>60</v>
      </c>
      <c r="F9" s="20" t="s">
        <v>61</v>
      </c>
      <c r="G9" s="20" t="s">
        <v>62</v>
      </c>
      <c r="H9" s="20" t="s">
        <v>109</v>
      </c>
      <c r="I9" s="20" t="s">
        <v>110</v>
      </c>
    </row>
    <row r="10" spans="1:11" x14ac:dyDescent="0.3">
      <c r="B10" s="6">
        <v>2024</v>
      </c>
      <c r="C10" s="22">
        <f>((B3+C3)/2)*3</f>
        <v>155.1935033637285</v>
      </c>
      <c r="D10" s="22">
        <f>((D3+E3)/2)*3</f>
        <v>451.47198990881401</v>
      </c>
      <c r="E10" s="22">
        <f>((F3+G3)/2)*3</f>
        <v>839.4557567274569</v>
      </c>
      <c r="F10" s="22">
        <f>((H3+I3)/2)*3</f>
        <v>1516.6637500000006</v>
      </c>
      <c r="G10" s="22">
        <f>((J3+K3)/2)*3</f>
        <v>4091.4650000000042</v>
      </c>
      <c r="H10" s="6">
        <f>(AVERAGE(D10:G10))*12</f>
        <v>20697.169489908829</v>
      </c>
      <c r="I10" s="6">
        <f>C10*12</f>
        <v>1862.322040364742</v>
      </c>
    </row>
    <row r="11" spans="1:11" x14ac:dyDescent="0.3">
      <c r="B11" s="6">
        <v>2023</v>
      </c>
      <c r="C11" s="22">
        <f>((B4+C4)/2)*3</f>
        <v>168.40320250940323</v>
      </c>
      <c r="D11" s="22">
        <f>((D4+E4)/2)*3</f>
        <v>484.15920669174295</v>
      </c>
      <c r="E11" s="22">
        <f>((F4+G4)/2)*3</f>
        <v>856.04962007522545</v>
      </c>
      <c r="F11" s="22">
        <f>((H4+I4)/2)*3</f>
        <v>1508.6119999999994</v>
      </c>
      <c r="G11" s="22">
        <f>((J4+K4)/2)*3</f>
        <v>3999.5761338348439</v>
      </c>
      <c r="H11" s="6">
        <f>(AVERAGE(D11:G11))*12</f>
        <v>20545.190881805436</v>
      </c>
      <c r="I11" s="6">
        <f>C11*12</f>
        <v>2020.8384301128388</v>
      </c>
    </row>
    <row r="12" spans="1:11" x14ac:dyDescent="0.3">
      <c r="B12" s="6">
        <v>2022</v>
      </c>
      <c r="C12" s="22">
        <f>((B5+C5)/2)*3</f>
        <v>153.54570332801342</v>
      </c>
      <c r="D12" s="22">
        <f>((D5+E5)/2)*3</f>
        <v>460.63710998404053</v>
      </c>
      <c r="E12" s="22">
        <f>((F5+G5)/2)*3</f>
        <v>830.54265665602657</v>
      </c>
      <c r="F12" s="22">
        <f>((H5+I5)/2)*3</f>
        <v>1500.56025</v>
      </c>
      <c r="G12" s="22">
        <f>((J5+K5)/2)*3</f>
        <v>4034.064246751785</v>
      </c>
      <c r="H12" s="6">
        <f>(AVERAGE(D12:G12))*12</f>
        <v>20477.412790175556</v>
      </c>
      <c r="I12" s="6">
        <f>C12*12</f>
        <v>1842.548439936161</v>
      </c>
    </row>
    <row r="13" spans="1:11" x14ac:dyDescent="0.3">
      <c r="B13" s="6">
        <v>2021</v>
      </c>
      <c r="C13" s="22">
        <f>((B6+C6)/2)*3</f>
        <v>145.77990165507794</v>
      </c>
      <c r="D13" s="22">
        <f>((D6+E6)/2)*3</f>
        <v>402.63019668984447</v>
      </c>
      <c r="E13" s="22">
        <f>((F6+G6)/2)*3</f>
        <v>749.72518013906392</v>
      </c>
      <c r="F13" s="22">
        <f>((H6+I6)/2)*3</f>
        <v>1436.9732867593771</v>
      </c>
      <c r="G13" s="22">
        <f>((J6+K6)/2)*3</f>
        <v>4206.7912940750139</v>
      </c>
      <c r="H13" s="6">
        <f>(AVERAGE(D13:G13))*12</f>
        <v>20388.359872989895</v>
      </c>
      <c r="I13" s="6">
        <f>C13*12</f>
        <v>1749.3588198609352</v>
      </c>
    </row>
    <row r="14" spans="1:11" x14ac:dyDescent="0.3">
      <c r="B14" s="6">
        <v>2020</v>
      </c>
      <c r="C14" s="22">
        <f>(_xlfn.FORECAST.LINEAR(B14,C10:C13,B10:B13))</f>
        <v>144.95600163721974</v>
      </c>
      <c r="D14" s="22">
        <f>(_xlfn.FORECAST.LINEAR(B14,D10:D13,B10:B13))</f>
        <v>407.21275672745833</v>
      </c>
      <c r="E14" s="22">
        <f>(_xlfn.FORECAST.LINEAR(B14,E10:E13,B10:B13))</f>
        <v>745.26863010335364</v>
      </c>
      <c r="F14" s="22">
        <f>(_xlfn.FORECAST.LINEAR(B14,F10:F13,B10:B13))</f>
        <v>1428.9215367593788</v>
      </c>
      <c r="G14" s="22">
        <f>(_xlfn.FORECAST.LINEAR(B14,G10:G13,B10:B13))</f>
        <v>4178.0909174508997</v>
      </c>
      <c r="H14" s="6">
        <f>(AVERAGE(D14:G14))*12</f>
        <v>20278.481523123271</v>
      </c>
      <c r="I14" s="6">
        <f>C14*12</f>
        <v>1739.4720196466369</v>
      </c>
    </row>
    <row r="17" spans="1:10" x14ac:dyDescent="0.3">
      <c r="A17" s="20" t="s">
        <v>0</v>
      </c>
      <c r="B17" s="20" t="s">
        <v>111</v>
      </c>
      <c r="C17" s="20" t="s">
        <v>72</v>
      </c>
      <c r="D17" s="20" t="s">
        <v>112</v>
      </c>
      <c r="E17" s="20" t="s">
        <v>113</v>
      </c>
      <c r="F17" s="20" t="s">
        <v>73</v>
      </c>
      <c r="G17" s="20" t="s">
        <v>109</v>
      </c>
      <c r="H17" s="20" t="s">
        <v>110</v>
      </c>
      <c r="I17" s="20" t="s">
        <v>74</v>
      </c>
      <c r="J17" s="20" t="s">
        <v>75</v>
      </c>
    </row>
    <row r="18" spans="1:10" x14ac:dyDescent="0.3">
      <c r="A18" s="6">
        <v>2024</v>
      </c>
      <c r="B18" s="6">
        <v>3682200000</v>
      </c>
      <c r="C18" s="6">
        <v>1205983</v>
      </c>
      <c r="D18" s="6">
        <v>0.189</v>
      </c>
      <c r="E18" s="6">
        <f>B18*D18</f>
        <v>695935800</v>
      </c>
      <c r="F18" s="6">
        <f>E18/C18</f>
        <v>577.06932850628903</v>
      </c>
      <c r="G18" s="6">
        <f t="shared" ref="G18:H22" si="0">H10</f>
        <v>20697.169489908829</v>
      </c>
      <c r="H18" s="6">
        <f t="shared" si="0"/>
        <v>1862.322040364742</v>
      </c>
      <c r="I18" s="22">
        <f>(F18/G18)*100</f>
        <v>2.7881557852036076</v>
      </c>
      <c r="J18" s="22">
        <f>(F18/H18)*100</f>
        <v>30.986548835198668</v>
      </c>
    </row>
    <row r="19" spans="1:10" x14ac:dyDescent="0.3">
      <c r="A19" s="6">
        <v>2023</v>
      </c>
      <c r="B19" s="6">
        <v>3550320000</v>
      </c>
      <c r="C19" s="6">
        <v>1179331</v>
      </c>
      <c r="D19" s="6">
        <v>0.17199999999999999</v>
      </c>
      <c r="E19" s="6">
        <f>B19*D19</f>
        <v>610655040</v>
      </c>
      <c r="F19" s="6">
        <f>E19/C19</f>
        <v>517.79783623088008</v>
      </c>
      <c r="G19" s="6">
        <f t="shared" si="0"/>
        <v>20545.190881805436</v>
      </c>
      <c r="H19" s="6">
        <f t="shared" si="0"/>
        <v>2020.8384301128388</v>
      </c>
      <c r="I19" s="22">
        <f>(F19/G19)*100</f>
        <v>2.5202872984228897</v>
      </c>
      <c r="J19" s="22">
        <f>(F19/H19)*100</f>
        <v>25.622921086371438</v>
      </c>
    </row>
    <row r="20" spans="1:10" x14ac:dyDescent="0.3">
      <c r="A20" s="6">
        <v>2022</v>
      </c>
      <c r="B20" s="6">
        <v>3290930000</v>
      </c>
      <c r="C20" s="6">
        <v>1139094</v>
      </c>
      <c r="D20" s="6">
        <v>0.183</v>
      </c>
      <c r="E20" s="6">
        <f>B20*D20</f>
        <v>602240190</v>
      </c>
      <c r="F20" s="6">
        <f>E20/C20</f>
        <v>528.70104662126221</v>
      </c>
      <c r="G20" s="6">
        <f t="shared" si="0"/>
        <v>20477.412790175556</v>
      </c>
      <c r="H20" s="6">
        <f t="shared" si="0"/>
        <v>1842.548439936161</v>
      </c>
      <c r="I20" s="22">
        <f>(F20/G20)*100</f>
        <v>2.5818742437761326</v>
      </c>
      <c r="J20" s="22">
        <f>(F20/H20)*100</f>
        <v>28.694010706148937</v>
      </c>
    </row>
    <row r="21" spans="1:10" x14ac:dyDescent="0.3">
      <c r="A21" s="6">
        <v>2021</v>
      </c>
      <c r="B21" s="6">
        <v>3322630000</v>
      </c>
      <c r="C21" s="6">
        <v>1095404</v>
      </c>
      <c r="D21" s="6">
        <v>0.16200000000000001</v>
      </c>
      <c r="E21" s="6">
        <f>B21*D21</f>
        <v>538266060</v>
      </c>
      <c r="F21" s="6">
        <f>E21/C21</f>
        <v>491.3858813734476</v>
      </c>
      <c r="G21" s="6">
        <f t="shared" si="0"/>
        <v>20388.359872989895</v>
      </c>
      <c r="H21" s="6">
        <f t="shared" si="0"/>
        <v>1749.3588198609352</v>
      </c>
      <c r="I21" s="22">
        <f>(F21/G21)*100</f>
        <v>2.4101295270171592</v>
      </c>
      <c r="J21" s="22">
        <f>(F21/H21)*100</f>
        <v>28.089484889812955</v>
      </c>
    </row>
    <row r="22" spans="1:10" x14ac:dyDescent="0.3">
      <c r="A22" s="6">
        <v>2020</v>
      </c>
      <c r="B22" s="6">
        <f>_xlfn.FORECAST.LINEAR(A22,B18:B21,A18:A21)</f>
        <v>3126995000</v>
      </c>
      <c r="C22" s="6">
        <f>_xlfn.FORECAST.LINEAR(A22,C18:C21,A18:A21)</f>
        <v>1061959.5</v>
      </c>
      <c r="D22" s="6">
        <v>0.17899999999999999</v>
      </c>
      <c r="E22" s="6">
        <f>B22*D22</f>
        <v>559732105</v>
      </c>
      <c r="F22" s="6">
        <f>E22/C22</f>
        <v>527.07481311669608</v>
      </c>
      <c r="G22" s="6">
        <f t="shared" si="0"/>
        <v>20278.481523123271</v>
      </c>
      <c r="H22" s="6">
        <f t="shared" si="0"/>
        <v>1739.4720196466369</v>
      </c>
      <c r="I22" s="22">
        <f>(F22/G22)*100</f>
        <v>2.5991828456962121</v>
      </c>
      <c r="J22" s="22">
        <f>(F22/H22)*100</f>
        <v>30.300850324903077</v>
      </c>
    </row>
    <row r="25" spans="1:10" x14ac:dyDescent="0.3">
      <c r="E25">
        <f>G18/H18</f>
        <v>11.113636117336194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Y54"/>
  <sheetViews>
    <sheetView topLeftCell="R1" zoomScale="76" zoomScaleNormal="76" workbookViewId="0">
      <selection activeCell="W41" sqref="W41"/>
    </sheetView>
  </sheetViews>
  <sheetFormatPr baseColWidth="10" defaultColWidth="10.6640625" defaultRowHeight="14.4" x14ac:dyDescent="0.3"/>
  <cols>
    <col min="1" max="1" width="41.33203125" customWidth="1"/>
    <col min="11" max="11" width="19.21875" customWidth="1"/>
    <col min="21" max="21" width="16.6640625" customWidth="1"/>
    <col min="22" max="22" width="19.6640625" customWidth="1"/>
    <col min="23" max="23" width="14.44140625" customWidth="1"/>
    <col min="24" max="24" width="21.109375" customWidth="1"/>
    <col min="25" max="25" width="22.5546875" customWidth="1"/>
  </cols>
  <sheetData>
    <row r="2" spans="1:25" ht="54.75" customHeight="1" x14ac:dyDescent="0.3">
      <c r="A2" s="2">
        <v>2024</v>
      </c>
      <c r="B2" s="2"/>
      <c r="C2" s="2"/>
      <c r="D2" s="2"/>
      <c r="E2" s="2"/>
      <c r="F2" s="2"/>
      <c r="G2" s="2"/>
      <c r="H2" s="2"/>
      <c r="K2" s="47" t="s">
        <v>114</v>
      </c>
      <c r="L2" s="47" t="s">
        <v>0</v>
      </c>
      <c r="M2" s="47" t="s">
        <v>115</v>
      </c>
      <c r="N2" s="47" t="s">
        <v>116</v>
      </c>
      <c r="O2" s="47" t="s">
        <v>117</v>
      </c>
      <c r="P2" s="47" t="s">
        <v>118</v>
      </c>
      <c r="Q2" s="47" t="s">
        <v>119</v>
      </c>
      <c r="R2" s="47" t="s">
        <v>120</v>
      </c>
      <c r="S2" s="47" t="s">
        <v>121</v>
      </c>
      <c r="T2" s="47" t="s">
        <v>122</v>
      </c>
      <c r="U2" s="47" t="s">
        <v>123</v>
      </c>
      <c r="V2" s="47" t="s">
        <v>124</v>
      </c>
      <c r="W2" s="47" t="s">
        <v>125</v>
      </c>
      <c r="X2" s="47" t="s">
        <v>126</v>
      </c>
      <c r="Y2" s="48" t="s">
        <v>127</v>
      </c>
    </row>
    <row r="3" spans="1:25" x14ac:dyDescent="0.3">
      <c r="A3" t="s">
        <v>128</v>
      </c>
      <c r="B3" t="s">
        <v>129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s="49" t="s">
        <v>3</v>
      </c>
      <c r="L3" s="50">
        <v>2020</v>
      </c>
      <c r="M3" s="51">
        <v>8294.3197999999993</v>
      </c>
      <c r="N3" s="52">
        <v>1689.1735000000001</v>
      </c>
      <c r="O3" s="52">
        <v>1459.4421</v>
      </c>
      <c r="P3" s="52">
        <v>9.0043000000000006</v>
      </c>
      <c r="Q3" s="52">
        <v>58.5702</v>
      </c>
      <c r="R3" s="53">
        <f t="shared" ref="R3:R32" si="0">SUM(M3:Q3)</f>
        <v>11510.509900000001</v>
      </c>
      <c r="S3" s="51">
        <v>23.730699999999999</v>
      </c>
      <c r="T3" s="53">
        <f t="shared" ref="T3:T32" si="1">SUM(R3:S3)</f>
        <v>11534.240600000001</v>
      </c>
      <c r="U3" s="54">
        <f t="shared" ref="U3:U32" si="2">R3/T3*100</f>
        <v>99.794258670137324</v>
      </c>
      <c r="V3" s="49">
        <f>C53</f>
        <v>99.8</v>
      </c>
      <c r="W3" s="50">
        <f>C54</f>
        <v>99.87</v>
      </c>
      <c r="X3" s="51">
        <f t="shared" ref="X3:X32" si="3">(U3*V3)/100</f>
        <v>99.59467015279705</v>
      </c>
      <c r="Y3" s="55">
        <f t="shared" ref="Y3:Y32" si="4">(U3*W3)/100</f>
        <v>99.664526133866147</v>
      </c>
    </row>
    <row r="4" spans="1:25" x14ac:dyDescent="0.3">
      <c r="A4" t="s">
        <v>130</v>
      </c>
      <c r="B4" t="s">
        <v>2</v>
      </c>
      <c r="C4">
        <v>99.4</v>
      </c>
      <c r="D4">
        <v>98.3</v>
      </c>
      <c r="E4">
        <v>90.89</v>
      </c>
      <c r="F4">
        <v>86.36</v>
      </c>
      <c r="G4">
        <v>99.56</v>
      </c>
      <c r="H4">
        <v>96</v>
      </c>
      <c r="K4" s="56" t="s">
        <v>3</v>
      </c>
      <c r="L4" s="57">
        <v>2021</v>
      </c>
      <c r="M4" s="58">
        <v>9285.7142000000003</v>
      </c>
      <c r="N4" s="59">
        <v>1601.7292</v>
      </c>
      <c r="O4" s="59">
        <v>1573.2996000000001</v>
      </c>
      <c r="P4" s="59">
        <v>9.1637000000000004</v>
      </c>
      <c r="Q4" s="59">
        <v>67.313800000000001</v>
      </c>
      <c r="R4" s="60">
        <f t="shared" si="0"/>
        <v>12537.220499999999</v>
      </c>
      <c r="S4" s="58">
        <v>2.8597000000000001</v>
      </c>
      <c r="T4" s="60">
        <f t="shared" si="1"/>
        <v>12540.0802</v>
      </c>
      <c r="U4" s="61">
        <f t="shared" si="2"/>
        <v>99.97719552064747</v>
      </c>
      <c r="V4" s="56">
        <f>C41</f>
        <v>99.8</v>
      </c>
      <c r="W4" s="57">
        <f>C42</f>
        <v>99.87</v>
      </c>
      <c r="X4" s="58">
        <f t="shared" si="3"/>
        <v>99.777241129606168</v>
      </c>
      <c r="Y4" s="62">
        <f t="shared" si="4"/>
        <v>99.847225166470636</v>
      </c>
    </row>
    <row r="5" spans="1:25" x14ac:dyDescent="0.3">
      <c r="A5" t="s">
        <v>131</v>
      </c>
      <c r="B5" t="s">
        <v>2</v>
      </c>
      <c r="C5">
        <v>99.4</v>
      </c>
      <c r="D5">
        <v>96.6</v>
      </c>
      <c r="E5">
        <v>84.95</v>
      </c>
      <c r="F5">
        <v>76.66</v>
      </c>
      <c r="G5">
        <v>72.94</v>
      </c>
      <c r="H5">
        <v>97.5</v>
      </c>
      <c r="K5" s="63" t="s">
        <v>3</v>
      </c>
      <c r="L5" s="64">
        <v>2022</v>
      </c>
      <c r="M5" s="65">
        <v>9448.7086999999992</v>
      </c>
      <c r="N5" s="66">
        <v>1618.691</v>
      </c>
      <c r="O5" s="66">
        <v>1369.2318</v>
      </c>
      <c r="P5" s="66">
        <v>8.0357000000000003</v>
      </c>
      <c r="Q5" s="66">
        <v>55.514499999999998</v>
      </c>
      <c r="R5" s="60">
        <f t="shared" si="0"/>
        <v>12500.181699999999</v>
      </c>
      <c r="S5" s="65">
        <v>92.115300000000005</v>
      </c>
      <c r="T5" s="60">
        <f t="shared" si="1"/>
        <v>12592.296999999999</v>
      </c>
      <c r="U5" s="67">
        <f t="shared" si="2"/>
        <v>99.268478975678548</v>
      </c>
      <c r="V5" s="63">
        <f>C29</f>
        <v>98.49</v>
      </c>
      <c r="W5" s="64">
        <f>C30</f>
        <v>99.83</v>
      </c>
      <c r="X5" s="65">
        <f t="shared" si="3"/>
        <v>97.769524943145782</v>
      </c>
      <c r="Y5" s="68">
        <f t="shared" si="4"/>
        <v>99.099722561419895</v>
      </c>
    </row>
    <row r="6" spans="1:25" x14ac:dyDescent="0.3">
      <c r="A6" t="s">
        <v>132</v>
      </c>
      <c r="B6" t="s">
        <v>2</v>
      </c>
      <c r="C6">
        <v>99.4</v>
      </c>
      <c r="D6">
        <v>99.4</v>
      </c>
      <c r="E6">
        <v>97.4</v>
      </c>
      <c r="F6">
        <v>94</v>
      </c>
      <c r="G6">
        <v>100</v>
      </c>
      <c r="H6">
        <v>99.9</v>
      </c>
      <c r="K6" s="56" t="s">
        <v>3</v>
      </c>
      <c r="L6" s="57">
        <v>2023</v>
      </c>
      <c r="M6" s="58">
        <v>8327.0234799999998</v>
      </c>
      <c r="N6" s="59">
        <v>1479.2516350000001</v>
      </c>
      <c r="O6" s="59">
        <v>1461.2477240000001</v>
      </c>
      <c r="P6" s="59">
        <v>8.9509899999999991</v>
      </c>
      <c r="Q6" s="59">
        <v>55.178288999999999</v>
      </c>
      <c r="R6" s="60">
        <f t="shared" si="0"/>
        <v>11331.652118</v>
      </c>
      <c r="S6" s="58">
        <v>608.06671600000004</v>
      </c>
      <c r="T6" s="60">
        <f t="shared" si="1"/>
        <v>11939.718833999999</v>
      </c>
      <c r="U6" s="69">
        <f t="shared" si="2"/>
        <v>94.907194009724535</v>
      </c>
      <c r="V6" s="56">
        <f>C17</f>
        <v>99.4</v>
      </c>
      <c r="W6" s="57">
        <f>C18</f>
        <v>99.4</v>
      </c>
      <c r="X6" s="58">
        <f t="shared" si="3"/>
        <v>94.337750845666193</v>
      </c>
      <c r="Y6" s="62">
        <f t="shared" si="4"/>
        <v>94.337750845666193</v>
      </c>
    </row>
    <row r="7" spans="1:25" x14ac:dyDescent="0.3">
      <c r="K7" s="70" t="s">
        <v>3</v>
      </c>
      <c r="L7" s="71">
        <v>2024</v>
      </c>
      <c r="M7" s="72">
        <v>8412.3290980000002</v>
      </c>
      <c r="N7" s="73">
        <v>1498.0964839999999</v>
      </c>
      <c r="O7" s="73">
        <v>1239.4691769999999</v>
      </c>
      <c r="P7" s="73">
        <v>25.83616</v>
      </c>
      <c r="Q7" s="73">
        <v>59.906097000000003</v>
      </c>
      <c r="R7" s="74">
        <f t="shared" si="0"/>
        <v>11235.637015999999</v>
      </c>
      <c r="S7" s="72">
        <v>1331.0304679999999</v>
      </c>
      <c r="T7" s="74">
        <f t="shared" si="1"/>
        <v>12566.667483999998</v>
      </c>
      <c r="U7" s="75">
        <f t="shared" si="2"/>
        <v>89.40824630161751</v>
      </c>
      <c r="V7" s="70">
        <f>C5</f>
        <v>99.4</v>
      </c>
      <c r="W7" s="71">
        <f>C6</f>
        <v>99.4</v>
      </c>
      <c r="X7" s="72">
        <f t="shared" si="3"/>
        <v>88.871796823807813</v>
      </c>
      <c r="Y7" s="76">
        <f t="shared" si="4"/>
        <v>88.871796823807813</v>
      </c>
    </row>
    <row r="8" spans="1:25" x14ac:dyDescent="0.3">
      <c r="K8" s="77" t="s">
        <v>4</v>
      </c>
      <c r="L8" s="78">
        <v>2020</v>
      </c>
      <c r="M8" s="79">
        <v>2066.6014785749999</v>
      </c>
      <c r="N8" s="80">
        <v>1449.96743247478</v>
      </c>
      <c r="O8" s="80">
        <v>14.083093999999999</v>
      </c>
      <c r="P8" s="80">
        <v>898.66046680471402</v>
      </c>
      <c r="Q8" s="80">
        <v>573.18378933600002</v>
      </c>
      <c r="R8" s="53">
        <f t="shared" si="0"/>
        <v>5002.4962611904939</v>
      </c>
      <c r="S8" s="79">
        <v>953.58708307079996</v>
      </c>
      <c r="T8" s="53">
        <f t="shared" si="1"/>
        <v>5956.0833442612939</v>
      </c>
      <c r="U8" s="81">
        <f t="shared" si="2"/>
        <v>83.989695443238148</v>
      </c>
      <c r="V8" s="77">
        <f>D53</f>
        <v>95.3</v>
      </c>
      <c r="W8" s="78">
        <f>D54</f>
        <v>99.3</v>
      </c>
      <c r="X8" s="79">
        <f t="shared" si="3"/>
        <v>80.042179757405961</v>
      </c>
      <c r="Y8" s="82">
        <f t="shared" si="4"/>
        <v>83.401767575135466</v>
      </c>
    </row>
    <row r="9" spans="1:25" x14ac:dyDescent="0.3">
      <c r="K9" s="63" t="s">
        <v>4</v>
      </c>
      <c r="L9" s="64">
        <v>2021</v>
      </c>
      <c r="M9" s="65">
        <v>1816.97375643587</v>
      </c>
      <c r="N9" s="66">
        <v>1451.6016400000001</v>
      </c>
      <c r="O9" s="66">
        <v>131.78488739700001</v>
      </c>
      <c r="P9" s="66">
        <v>1073.1992537471799</v>
      </c>
      <c r="Q9" s="66">
        <v>646.39478291125204</v>
      </c>
      <c r="R9" s="60">
        <f t="shared" si="0"/>
        <v>5119.9543204913025</v>
      </c>
      <c r="S9" s="65">
        <v>960.48057299300001</v>
      </c>
      <c r="T9" s="60">
        <f t="shared" si="1"/>
        <v>6080.4348934843028</v>
      </c>
      <c r="U9" s="67">
        <f t="shared" si="2"/>
        <v>84.203752037173601</v>
      </c>
      <c r="V9" s="63">
        <f>D41</f>
        <v>95.6</v>
      </c>
      <c r="W9" s="64">
        <f>D42</f>
        <v>99.2</v>
      </c>
      <c r="X9" s="65">
        <f t="shared" si="3"/>
        <v>80.498786947537951</v>
      </c>
      <c r="Y9" s="68">
        <f t="shared" si="4"/>
        <v>83.530122020876206</v>
      </c>
    </row>
    <row r="10" spans="1:25" x14ac:dyDescent="0.3">
      <c r="K10" s="56" t="s">
        <v>4</v>
      </c>
      <c r="L10" s="57">
        <v>2022</v>
      </c>
      <c r="M10" s="58">
        <v>2234.1286231513</v>
      </c>
      <c r="N10" s="59">
        <v>1468.0004063455001</v>
      </c>
      <c r="O10" s="59">
        <v>134.89596</v>
      </c>
      <c r="P10" s="59">
        <v>1109.2178337565999</v>
      </c>
      <c r="Q10" s="59">
        <v>574.38391254100497</v>
      </c>
      <c r="R10" s="60">
        <f t="shared" si="0"/>
        <v>5520.6267357944052</v>
      </c>
      <c r="S10" s="58">
        <v>1613.2709400000001</v>
      </c>
      <c r="T10" s="60">
        <f t="shared" si="1"/>
        <v>7133.8976757944056</v>
      </c>
      <c r="U10" s="69">
        <f t="shared" si="2"/>
        <v>77.385841326630015</v>
      </c>
      <c r="V10" s="56">
        <f>D29</f>
        <v>96.4</v>
      </c>
      <c r="W10" s="57">
        <f>D30</f>
        <v>99.3</v>
      </c>
      <c r="X10" s="58">
        <f t="shared" si="3"/>
        <v>74.599951038871339</v>
      </c>
      <c r="Y10" s="62">
        <f t="shared" si="4"/>
        <v>76.844140437343597</v>
      </c>
    </row>
    <row r="11" spans="1:25" x14ac:dyDescent="0.3">
      <c r="K11" s="63" t="s">
        <v>4</v>
      </c>
      <c r="L11" s="64">
        <v>2023</v>
      </c>
      <c r="M11" s="65">
        <v>1568.3033551859</v>
      </c>
      <c r="N11" s="66">
        <v>1478.3824183955101</v>
      </c>
      <c r="O11" s="66">
        <v>166.808864441239</v>
      </c>
      <c r="P11" s="66">
        <v>1194.1038645497899</v>
      </c>
      <c r="Q11" s="66">
        <v>554.93683290116405</v>
      </c>
      <c r="R11" s="60">
        <f t="shared" si="0"/>
        <v>4962.5353354736035</v>
      </c>
      <c r="S11" s="65">
        <v>3192.4814456965901</v>
      </c>
      <c r="T11" s="60">
        <f t="shared" si="1"/>
        <v>8155.016781170194</v>
      </c>
      <c r="U11" s="67">
        <f t="shared" si="2"/>
        <v>60.852545968170411</v>
      </c>
      <c r="V11" s="63">
        <f>D17</f>
        <v>96.6</v>
      </c>
      <c r="W11" s="64">
        <f>D18</f>
        <v>99.4</v>
      </c>
      <c r="X11" s="65">
        <f t="shared" si="3"/>
        <v>58.783559405252618</v>
      </c>
      <c r="Y11" s="68">
        <f t="shared" si="4"/>
        <v>60.487430692361393</v>
      </c>
    </row>
    <row r="12" spans="1:25" x14ac:dyDescent="0.3">
      <c r="K12" s="83" t="s">
        <v>4</v>
      </c>
      <c r="L12" s="84">
        <v>2024</v>
      </c>
      <c r="M12" s="85">
        <v>2199.3476943143601</v>
      </c>
      <c r="N12" s="86">
        <v>1481.06517695722</v>
      </c>
      <c r="O12" s="86">
        <v>145.78106771246499</v>
      </c>
      <c r="P12" s="86">
        <v>1259.96239419671</v>
      </c>
      <c r="Q12" s="86">
        <v>563.27715854741405</v>
      </c>
      <c r="R12" s="74">
        <f t="shared" si="0"/>
        <v>5649.4334917281685</v>
      </c>
      <c r="S12" s="85">
        <v>2545.6672111504899</v>
      </c>
      <c r="T12" s="74">
        <f t="shared" si="1"/>
        <v>8195.1007028786589</v>
      </c>
      <c r="U12" s="87">
        <f t="shared" si="2"/>
        <v>68.936718370571285</v>
      </c>
      <c r="V12" s="83">
        <f>D5</f>
        <v>96.6</v>
      </c>
      <c r="W12" s="84">
        <f>E6</f>
        <v>97.4</v>
      </c>
      <c r="X12" s="85">
        <f t="shared" si="3"/>
        <v>66.592869945971856</v>
      </c>
      <c r="Y12" s="88">
        <f t="shared" si="4"/>
        <v>67.144363692936437</v>
      </c>
    </row>
    <row r="13" spans="1:25" x14ac:dyDescent="0.3">
      <c r="K13" s="49" t="s">
        <v>5</v>
      </c>
      <c r="L13" s="50">
        <v>2020</v>
      </c>
      <c r="M13" s="51">
        <v>5816.5378613732801</v>
      </c>
      <c r="N13" s="52">
        <v>273.85602841188103</v>
      </c>
      <c r="O13" s="52">
        <v>312.68393327128899</v>
      </c>
      <c r="P13" s="52">
        <v>221.50676212552099</v>
      </c>
      <c r="Q13" s="52">
        <v>1747.9294056577401</v>
      </c>
      <c r="R13" s="53">
        <f t="shared" si="0"/>
        <v>8372.5139908397105</v>
      </c>
      <c r="S13" s="51">
        <v>2749.54830728651</v>
      </c>
      <c r="T13" s="53">
        <f t="shared" si="1"/>
        <v>11122.06229812622</v>
      </c>
      <c r="U13" s="89">
        <f t="shared" si="2"/>
        <v>75.278430981727752</v>
      </c>
      <c r="V13" s="49">
        <f>E53</f>
        <v>81.3</v>
      </c>
      <c r="W13" s="50">
        <f>E54</f>
        <v>96.2</v>
      </c>
      <c r="X13" s="51">
        <f t="shared" si="3"/>
        <v>61.201364388144654</v>
      </c>
      <c r="Y13" s="55">
        <f t="shared" si="4"/>
        <v>72.4178506044221</v>
      </c>
    </row>
    <row r="14" spans="1:25" x14ac:dyDescent="0.3">
      <c r="A14" s="2">
        <v>2023</v>
      </c>
      <c r="B14" s="2"/>
      <c r="C14" s="2"/>
      <c r="D14" s="2"/>
      <c r="E14" s="2"/>
      <c r="F14" s="2"/>
      <c r="G14" s="2"/>
      <c r="H14" s="2"/>
      <c r="K14" s="56" t="s">
        <v>5</v>
      </c>
      <c r="L14" s="57">
        <v>2021</v>
      </c>
      <c r="M14" s="58">
        <v>5960.29296128857</v>
      </c>
      <c r="N14" s="59">
        <v>264.968281685112</v>
      </c>
      <c r="O14" s="59">
        <v>323.79532019711002</v>
      </c>
      <c r="P14" s="59">
        <v>229.60029964766099</v>
      </c>
      <c r="Q14" s="59">
        <v>1745.1177161655</v>
      </c>
      <c r="R14" s="60">
        <f t="shared" si="0"/>
        <v>8523.7745789839537</v>
      </c>
      <c r="S14" s="58">
        <v>3419.3026015279302</v>
      </c>
      <c r="T14" s="60">
        <f t="shared" si="1"/>
        <v>11943.077180511884</v>
      </c>
      <c r="U14" s="69">
        <f t="shared" si="2"/>
        <v>71.370003309470547</v>
      </c>
      <c r="V14" s="56">
        <f>E41</f>
        <v>84.2</v>
      </c>
      <c r="W14" s="57">
        <f>E42</f>
        <v>97.1</v>
      </c>
      <c r="X14" s="58">
        <f t="shared" si="3"/>
        <v>60.093542786574197</v>
      </c>
      <c r="Y14" s="62">
        <f t="shared" si="4"/>
        <v>69.300273213495899</v>
      </c>
    </row>
    <row r="15" spans="1:25" x14ac:dyDescent="0.3">
      <c r="A15" t="s">
        <v>128</v>
      </c>
      <c r="B15" t="s">
        <v>129</v>
      </c>
      <c r="C15" t="s">
        <v>3</v>
      </c>
      <c r="D15" t="s">
        <v>4</v>
      </c>
      <c r="E15" t="s">
        <v>5</v>
      </c>
      <c r="F15" t="s">
        <v>6</v>
      </c>
      <c r="G15" t="s">
        <v>7</v>
      </c>
      <c r="H15" t="s">
        <v>8</v>
      </c>
      <c r="K15" s="63" t="s">
        <v>5</v>
      </c>
      <c r="L15" s="64">
        <v>2022</v>
      </c>
      <c r="M15" s="65">
        <v>6942.2190598104798</v>
      </c>
      <c r="N15" s="66">
        <v>281.98860076224798</v>
      </c>
      <c r="O15" s="66">
        <v>313.79508857380301</v>
      </c>
      <c r="P15" s="66">
        <v>219.86655862250001</v>
      </c>
      <c r="Q15" s="66">
        <v>1658.75489633551</v>
      </c>
      <c r="R15" s="60">
        <f t="shared" si="0"/>
        <v>9416.6242041045407</v>
      </c>
      <c r="S15" s="65">
        <v>2608.0842319467201</v>
      </c>
      <c r="T15" s="60">
        <f t="shared" si="1"/>
        <v>12024.70843605126</v>
      </c>
      <c r="U15" s="67">
        <f t="shared" si="2"/>
        <v>78.310623947210019</v>
      </c>
      <c r="V15" s="63">
        <f>E29</f>
        <v>83.1</v>
      </c>
      <c r="W15" s="64">
        <f>E30</f>
        <v>96.9</v>
      </c>
      <c r="X15" s="65">
        <f t="shared" si="3"/>
        <v>65.076128500131517</v>
      </c>
      <c r="Y15" s="68">
        <f t="shared" si="4"/>
        <v>75.882994604846502</v>
      </c>
    </row>
    <row r="16" spans="1:25" x14ac:dyDescent="0.3">
      <c r="A16" t="s">
        <v>130</v>
      </c>
      <c r="B16" t="s">
        <v>2</v>
      </c>
      <c r="C16">
        <v>99.4</v>
      </c>
      <c r="D16">
        <v>98.3</v>
      </c>
      <c r="E16">
        <v>90.39</v>
      </c>
      <c r="F16">
        <v>86.28</v>
      </c>
      <c r="G16">
        <v>99.41</v>
      </c>
      <c r="H16">
        <v>95.6</v>
      </c>
      <c r="K16" s="56" t="s">
        <v>5</v>
      </c>
      <c r="L16" s="57">
        <v>2023</v>
      </c>
      <c r="M16" s="58">
        <v>5571.8793395490002</v>
      </c>
      <c r="N16" s="59">
        <v>285.43830417790099</v>
      </c>
      <c r="O16" s="59">
        <v>343.956781313806</v>
      </c>
      <c r="P16" s="59">
        <v>245.91833984865301</v>
      </c>
      <c r="Q16" s="59">
        <v>1648.9676094086601</v>
      </c>
      <c r="R16" s="60">
        <f t="shared" si="0"/>
        <v>8096.1603742980196</v>
      </c>
      <c r="S16" s="58">
        <v>4126.7294360832902</v>
      </c>
      <c r="T16" s="60">
        <f t="shared" si="1"/>
        <v>12222.88981038131</v>
      </c>
      <c r="U16" s="69">
        <f t="shared" si="2"/>
        <v>66.237694194229576</v>
      </c>
      <c r="V16" s="56">
        <f>E17</f>
        <v>84.2</v>
      </c>
      <c r="W16" s="57">
        <f>E18</f>
        <v>97.1</v>
      </c>
      <c r="X16" s="58">
        <f t="shared" si="3"/>
        <v>55.772138511541307</v>
      </c>
      <c r="Y16" s="62">
        <f t="shared" si="4"/>
        <v>64.316801062596909</v>
      </c>
    </row>
    <row r="17" spans="1:25" x14ac:dyDescent="0.3">
      <c r="A17" t="s">
        <v>131</v>
      </c>
      <c r="B17" t="s">
        <v>2</v>
      </c>
      <c r="C17">
        <v>99.4</v>
      </c>
      <c r="D17">
        <v>96.6</v>
      </c>
      <c r="E17">
        <v>84.2</v>
      </c>
      <c r="F17">
        <v>75.92</v>
      </c>
      <c r="G17">
        <v>72.94</v>
      </c>
      <c r="H17">
        <v>93.7</v>
      </c>
      <c r="K17" s="70" t="s">
        <v>5</v>
      </c>
      <c r="L17" s="71">
        <v>2024</v>
      </c>
      <c r="M17" s="72">
        <v>5334.1739691146004</v>
      </c>
      <c r="N17" s="73">
        <v>275.036430535443</v>
      </c>
      <c r="O17" s="73">
        <v>286.43385692367798</v>
      </c>
      <c r="P17" s="73">
        <v>252.10352026257701</v>
      </c>
      <c r="Q17" s="73">
        <v>1611.6517205780999</v>
      </c>
      <c r="R17" s="74">
        <f t="shared" si="0"/>
        <v>7759.3994974143989</v>
      </c>
      <c r="S17" s="72">
        <v>5358.0079618767104</v>
      </c>
      <c r="T17" s="74">
        <f t="shared" si="1"/>
        <v>13117.407459291109</v>
      </c>
      <c r="U17" s="75">
        <f t="shared" si="2"/>
        <v>59.153453313813067</v>
      </c>
      <c r="V17" s="70">
        <f>E5</f>
        <v>84.95</v>
      </c>
      <c r="W17" s="71">
        <f>E6</f>
        <v>97.4</v>
      </c>
      <c r="X17" s="72">
        <f t="shared" si="3"/>
        <v>50.250858590084199</v>
      </c>
      <c r="Y17" s="76">
        <f t="shared" si="4"/>
        <v>57.61546352765393</v>
      </c>
    </row>
    <row r="18" spans="1:25" x14ac:dyDescent="0.3">
      <c r="A18" t="s">
        <v>132</v>
      </c>
      <c r="B18" t="s">
        <v>2</v>
      </c>
      <c r="C18">
        <v>99.4</v>
      </c>
      <c r="D18">
        <v>99.4</v>
      </c>
      <c r="E18">
        <v>97.1</v>
      </c>
      <c r="F18">
        <v>94.43</v>
      </c>
      <c r="G18">
        <v>100</v>
      </c>
      <c r="H18">
        <v>99.9</v>
      </c>
      <c r="K18" s="77" t="s">
        <v>6</v>
      </c>
      <c r="L18" s="78">
        <v>2020</v>
      </c>
      <c r="M18" s="79">
        <v>2700.6399751499998</v>
      </c>
      <c r="N18" s="80">
        <v>306.98834419999997</v>
      </c>
      <c r="O18" s="80">
        <v>708.88084915000002</v>
      </c>
      <c r="P18" s="80">
        <v>1112.8126199028</v>
      </c>
      <c r="Q18" s="80">
        <v>789.122860159178</v>
      </c>
      <c r="R18" s="53">
        <f t="shared" si="0"/>
        <v>5618.4446485619783</v>
      </c>
      <c r="S18" s="79">
        <v>4447.8590929237798</v>
      </c>
      <c r="T18" s="53">
        <f t="shared" si="1"/>
        <v>10066.303741485757</v>
      </c>
      <c r="U18" s="81">
        <f t="shared" si="2"/>
        <v>55.81437628796121</v>
      </c>
      <c r="V18" s="77">
        <f>F53</f>
        <v>69.22</v>
      </c>
      <c r="W18" s="78">
        <f>F54</f>
        <v>98.26</v>
      </c>
      <c r="X18" s="79">
        <f t="shared" si="3"/>
        <v>38.63471126652675</v>
      </c>
      <c r="Y18" s="82">
        <f t="shared" si="4"/>
        <v>54.843206140550691</v>
      </c>
    </row>
    <row r="19" spans="1:25" x14ac:dyDescent="0.3">
      <c r="K19" s="63" t="s">
        <v>6</v>
      </c>
      <c r="L19" s="64">
        <v>2021</v>
      </c>
      <c r="M19" s="65">
        <v>3765.2173835399999</v>
      </c>
      <c r="N19" s="66">
        <v>348.19705539</v>
      </c>
      <c r="O19" s="66">
        <v>776.56155050285201</v>
      </c>
      <c r="P19" s="66">
        <v>1140.4566506838401</v>
      </c>
      <c r="Q19" s="66">
        <v>803.81545563999998</v>
      </c>
      <c r="R19" s="60">
        <f t="shared" si="0"/>
        <v>6834.2480957566913</v>
      </c>
      <c r="S19" s="65">
        <v>4247.79508118593</v>
      </c>
      <c r="T19" s="60">
        <f t="shared" si="1"/>
        <v>11082.043176942621</v>
      </c>
      <c r="U19" s="67">
        <f t="shared" si="2"/>
        <v>61.669567485317842</v>
      </c>
      <c r="V19" s="63">
        <f>F41</f>
        <v>74.41</v>
      </c>
      <c r="W19" s="64">
        <f>F42</f>
        <v>94.65</v>
      </c>
      <c r="X19" s="65">
        <f t="shared" si="3"/>
        <v>45.888325165825009</v>
      </c>
      <c r="Y19" s="68">
        <f t="shared" si="4"/>
        <v>58.370245624853339</v>
      </c>
    </row>
    <row r="20" spans="1:25" x14ac:dyDescent="0.3">
      <c r="K20" s="56" t="s">
        <v>6</v>
      </c>
      <c r="L20" s="57">
        <v>2022</v>
      </c>
      <c r="M20" s="58">
        <v>3882.5023753999999</v>
      </c>
      <c r="N20" s="59">
        <v>337.18582838999998</v>
      </c>
      <c r="O20" s="59">
        <v>686.36614906642205</v>
      </c>
      <c r="P20" s="59">
        <v>1037.91739170697</v>
      </c>
      <c r="Q20" s="59">
        <v>805.40507028000002</v>
      </c>
      <c r="R20" s="60">
        <f t="shared" si="0"/>
        <v>6749.3768148433919</v>
      </c>
      <c r="S20" s="58">
        <v>4535.7613314328</v>
      </c>
      <c r="T20" s="60">
        <f t="shared" si="1"/>
        <v>11285.138146276193</v>
      </c>
      <c r="U20" s="69">
        <f t="shared" si="2"/>
        <v>59.807657889154989</v>
      </c>
      <c r="V20" s="56">
        <f>F29</f>
        <v>74.47</v>
      </c>
      <c r="W20" s="57">
        <f>F30</f>
        <v>94.49</v>
      </c>
      <c r="X20" s="58">
        <f t="shared" si="3"/>
        <v>44.53876283005372</v>
      </c>
      <c r="Y20" s="62">
        <f t="shared" si="4"/>
        <v>56.512255939462548</v>
      </c>
    </row>
    <row r="21" spans="1:25" x14ac:dyDescent="0.3">
      <c r="K21" s="63" t="s">
        <v>6</v>
      </c>
      <c r="L21" s="64">
        <v>2023</v>
      </c>
      <c r="M21" s="65">
        <v>3208.2356978522698</v>
      </c>
      <c r="N21" s="66">
        <v>318.26459996900002</v>
      </c>
      <c r="O21" s="66">
        <v>770.13720199440002</v>
      </c>
      <c r="P21" s="66">
        <v>1094.3220971410001</v>
      </c>
      <c r="Q21" s="66">
        <v>797.8797414462</v>
      </c>
      <c r="R21" s="60">
        <f t="shared" si="0"/>
        <v>6188.8393384028695</v>
      </c>
      <c r="S21" s="65">
        <v>5655.0797452838297</v>
      </c>
      <c r="T21" s="60">
        <f t="shared" si="1"/>
        <v>11843.919083686698</v>
      </c>
      <c r="U21" s="67">
        <f t="shared" si="2"/>
        <v>52.253306483046721</v>
      </c>
      <c r="V21" s="63">
        <f>F17</f>
        <v>75.92</v>
      </c>
      <c r="W21" s="64">
        <f>F18</f>
        <v>94.43</v>
      </c>
      <c r="X21" s="65">
        <f t="shared" si="3"/>
        <v>39.670710281929075</v>
      </c>
      <c r="Y21" s="68">
        <f t="shared" si="4"/>
        <v>49.34279731194102</v>
      </c>
    </row>
    <row r="22" spans="1:25" x14ac:dyDescent="0.3">
      <c r="K22" s="83" t="s">
        <v>6</v>
      </c>
      <c r="L22" s="84">
        <v>2024</v>
      </c>
      <c r="M22" s="85">
        <v>3834.2798380600402</v>
      </c>
      <c r="N22" s="86">
        <v>304.83861000000002</v>
      </c>
      <c r="O22" s="86">
        <v>666.59962612577306</v>
      </c>
      <c r="P22" s="86">
        <v>1147.7852055108101</v>
      </c>
      <c r="Q22" s="86">
        <v>691.70762943</v>
      </c>
      <c r="R22" s="74">
        <f t="shared" si="0"/>
        <v>6645.2109091266248</v>
      </c>
      <c r="S22" s="85">
        <v>6049.0301784198</v>
      </c>
      <c r="T22" s="74">
        <f t="shared" si="1"/>
        <v>12694.241087546425</v>
      </c>
      <c r="U22" s="87">
        <f t="shared" si="2"/>
        <v>52.348233055427407</v>
      </c>
      <c r="V22" s="83">
        <f>F5</f>
        <v>76.66</v>
      </c>
      <c r="W22" s="84">
        <f>F6</f>
        <v>94</v>
      </c>
      <c r="X22" s="85">
        <f t="shared" si="3"/>
        <v>40.130155460290645</v>
      </c>
      <c r="Y22" s="88">
        <f t="shared" si="4"/>
        <v>49.20733907210176</v>
      </c>
    </row>
    <row r="23" spans="1:25" x14ac:dyDescent="0.3">
      <c r="K23" s="49" t="s">
        <v>7</v>
      </c>
      <c r="L23" s="50">
        <v>2020</v>
      </c>
      <c r="M23" s="51">
        <v>574.47110921302306</v>
      </c>
      <c r="N23" s="52">
        <v>767.31203885210402</v>
      </c>
      <c r="O23" s="52">
        <v>549.93344525404098</v>
      </c>
      <c r="P23" s="52">
        <v>25.955317321019201</v>
      </c>
      <c r="Q23" s="52">
        <v>732.77737610999998</v>
      </c>
      <c r="R23" s="53">
        <f t="shared" si="0"/>
        <v>2650.4492867501876</v>
      </c>
      <c r="S23" s="51">
        <v>1146.6082545551501</v>
      </c>
      <c r="T23" s="53">
        <f t="shared" si="1"/>
        <v>3797.0575413053375</v>
      </c>
      <c r="U23" s="89">
        <f t="shared" si="2"/>
        <v>69.802715864006288</v>
      </c>
      <c r="V23" s="49">
        <f>G53</f>
        <v>72.94</v>
      </c>
      <c r="W23" s="50">
        <f>G54</f>
        <v>100</v>
      </c>
      <c r="X23" s="51">
        <f t="shared" si="3"/>
        <v>50.91410095120618</v>
      </c>
      <c r="Y23" s="55">
        <f t="shared" si="4"/>
        <v>69.802715864006288</v>
      </c>
    </row>
    <row r="24" spans="1:25" x14ac:dyDescent="0.3">
      <c r="K24" s="56" t="s">
        <v>7</v>
      </c>
      <c r="L24" s="57">
        <v>2021</v>
      </c>
      <c r="M24" s="58">
        <v>599.02556552849205</v>
      </c>
      <c r="N24" s="59">
        <v>734.03197950100002</v>
      </c>
      <c r="O24" s="59">
        <v>655.83749795460199</v>
      </c>
      <c r="P24" s="59">
        <v>27.271588080000001</v>
      </c>
      <c r="Q24" s="59">
        <v>898.78697584975305</v>
      </c>
      <c r="R24" s="60">
        <f t="shared" si="0"/>
        <v>2914.9536069138471</v>
      </c>
      <c r="S24" s="58">
        <v>1297.5394473705101</v>
      </c>
      <c r="T24" s="60">
        <f t="shared" si="1"/>
        <v>4212.4930542843576</v>
      </c>
      <c r="U24" s="69">
        <f t="shared" si="2"/>
        <v>69.197825832594901</v>
      </c>
      <c r="V24" s="56">
        <f>G41</f>
        <v>72.94</v>
      </c>
      <c r="W24" s="57">
        <f>G42</f>
        <v>100</v>
      </c>
      <c r="X24" s="58">
        <f t="shared" si="3"/>
        <v>50.472894162294715</v>
      </c>
      <c r="Y24" s="62">
        <f t="shared" si="4"/>
        <v>69.197825832594901</v>
      </c>
    </row>
    <row r="25" spans="1:25" x14ac:dyDescent="0.3">
      <c r="K25" s="63" t="s">
        <v>7</v>
      </c>
      <c r="L25" s="64">
        <v>2022</v>
      </c>
      <c r="M25" s="65">
        <v>650.15224410486405</v>
      </c>
      <c r="N25" s="66">
        <v>687.16915583347395</v>
      </c>
      <c r="O25" s="66">
        <v>561.87182544249799</v>
      </c>
      <c r="P25" s="66">
        <v>26.099762219999999</v>
      </c>
      <c r="Q25" s="66">
        <v>890.45252400000004</v>
      </c>
      <c r="R25" s="60">
        <f t="shared" si="0"/>
        <v>2815.7455116008359</v>
      </c>
      <c r="S25" s="65">
        <v>1476.88749003</v>
      </c>
      <c r="T25" s="60">
        <f t="shared" si="1"/>
        <v>4292.6330016308357</v>
      </c>
      <c r="U25" s="67">
        <f t="shared" si="2"/>
        <v>65.594834464793323</v>
      </c>
      <c r="V25" s="63">
        <f>G29</f>
        <v>72.94</v>
      </c>
      <c r="W25" s="64">
        <f>G30</f>
        <v>100</v>
      </c>
      <c r="X25" s="65">
        <f t="shared" si="3"/>
        <v>47.844872258620242</v>
      </c>
      <c r="Y25" s="68">
        <f t="shared" si="4"/>
        <v>65.594834464793323</v>
      </c>
    </row>
    <row r="26" spans="1:25" x14ac:dyDescent="0.3">
      <c r="A26" s="2">
        <v>2022</v>
      </c>
      <c r="B26" s="2"/>
      <c r="C26" s="2"/>
      <c r="D26" s="2"/>
      <c r="E26" s="2"/>
      <c r="F26" s="2"/>
      <c r="G26" s="2"/>
      <c r="H26" s="2"/>
      <c r="K26" s="56" t="s">
        <v>7</v>
      </c>
      <c r="L26" s="57">
        <v>2023</v>
      </c>
      <c r="M26" s="58">
        <v>469.54197583583999</v>
      </c>
      <c r="N26" s="59">
        <v>751.14885294503495</v>
      </c>
      <c r="O26" s="59">
        <v>665.34422784486901</v>
      </c>
      <c r="P26" s="59">
        <v>27.221494468284</v>
      </c>
      <c r="Q26" s="59">
        <v>914.55866300010803</v>
      </c>
      <c r="R26" s="60">
        <f t="shared" si="0"/>
        <v>2827.8152140941356</v>
      </c>
      <c r="S26" s="58">
        <v>2001.6861447297199</v>
      </c>
      <c r="T26" s="60">
        <f t="shared" si="1"/>
        <v>4829.5013588238553</v>
      </c>
      <c r="U26" s="69">
        <f t="shared" si="2"/>
        <v>58.552943751170261</v>
      </c>
      <c r="V26" s="56">
        <f>G17</f>
        <v>72.94</v>
      </c>
      <c r="W26" s="57">
        <f>G18</f>
        <v>100</v>
      </c>
      <c r="X26" s="58">
        <f t="shared" si="3"/>
        <v>42.708517172103583</v>
      </c>
      <c r="Y26" s="62">
        <f t="shared" si="4"/>
        <v>58.552943751170261</v>
      </c>
    </row>
    <row r="27" spans="1:25" x14ac:dyDescent="0.3">
      <c r="A27" t="s">
        <v>128</v>
      </c>
      <c r="B27" t="s">
        <v>129</v>
      </c>
      <c r="C27" t="s">
        <v>3</v>
      </c>
      <c r="D27" t="s">
        <v>4</v>
      </c>
      <c r="E27" t="s">
        <v>5</v>
      </c>
      <c r="F27" t="s">
        <v>6</v>
      </c>
      <c r="G27" t="s">
        <v>7</v>
      </c>
      <c r="H27" t="s">
        <v>8</v>
      </c>
      <c r="K27" s="70" t="s">
        <v>7</v>
      </c>
      <c r="L27" s="71">
        <v>2024</v>
      </c>
      <c r="M27" s="72">
        <v>339.104677513448</v>
      </c>
      <c r="N27" s="73">
        <v>821.085455438243</v>
      </c>
      <c r="O27" s="73">
        <v>787.87175558741205</v>
      </c>
      <c r="P27" s="73">
        <v>28.3914372414852</v>
      </c>
      <c r="Q27" s="73">
        <v>939.31739820476298</v>
      </c>
      <c r="R27" s="74">
        <f t="shared" si="0"/>
        <v>2915.7707239853512</v>
      </c>
      <c r="S27" s="72">
        <v>2712.9672700535498</v>
      </c>
      <c r="T27" s="74">
        <f t="shared" si="1"/>
        <v>5628.737994038901</v>
      </c>
      <c r="U27" s="75">
        <f t="shared" si="2"/>
        <v>51.801500213250108</v>
      </c>
      <c r="V27" s="70">
        <f>G5</f>
        <v>72.94</v>
      </c>
      <c r="W27" s="71">
        <f>G6</f>
        <v>100</v>
      </c>
      <c r="X27" s="72">
        <f t="shared" si="3"/>
        <v>37.784014255544626</v>
      </c>
      <c r="Y27" s="76">
        <f t="shared" si="4"/>
        <v>51.801500213250108</v>
      </c>
    </row>
    <row r="28" spans="1:25" x14ac:dyDescent="0.3">
      <c r="A28" t="s">
        <v>130</v>
      </c>
      <c r="B28" t="s">
        <v>2</v>
      </c>
      <c r="C28">
        <v>99.4</v>
      </c>
      <c r="D28">
        <v>98.2</v>
      </c>
      <c r="E28">
        <v>89.94</v>
      </c>
      <c r="F28">
        <v>85.63</v>
      </c>
      <c r="G28">
        <v>99.26</v>
      </c>
      <c r="H28">
        <v>95.2</v>
      </c>
      <c r="K28" s="77" t="s">
        <v>8</v>
      </c>
      <c r="L28" s="78">
        <v>2020</v>
      </c>
      <c r="M28" s="79">
        <v>7349.2</v>
      </c>
      <c r="N28" s="80">
        <v>0</v>
      </c>
      <c r="O28" s="80">
        <v>584.20000000000005</v>
      </c>
      <c r="P28" s="80">
        <v>385</v>
      </c>
      <c r="Q28" s="80">
        <v>29.8</v>
      </c>
      <c r="R28" s="53">
        <f t="shared" si="0"/>
        <v>8348.1999999999989</v>
      </c>
      <c r="S28" s="79">
        <v>4487.34</v>
      </c>
      <c r="T28" s="53">
        <f t="shared" si="1"/>
        <v>12835.539999999999</v>
      </c>
      <c r="U28" s="81">
        <f t="shared" si="2"/>
        <v>65.039725636786599</v>
      </c>
      <c r="V28" s="77">
        <f>H53</f>
        <v>83.02</v>
      </c>
      <c r="W28" s="78">
        <f>H54</f>
        <v>99.7</v>
      </c>
      <c r="X28" s="79">
        <f t="shared" si="3"/>
        <v>53.995980223660233</v>
      </c>
      <c r="Y28" s="82">
        <f t="shared" si="4"/>
        <v>64.844606459876246</v>
      </c>
    </row>
    <row r="29" spans="1:25" x14ac:dyDescent="0.3">
      <c r="A29" t="s">
        <v>131</v>
      </c>
      <c r="B29" t="s">
        <v>2</v>
      </c>
      <c r="C29">
        <v>98.49</v>
      </c>
      <c r="D29">
        <v>96.4</v>
      </c>
      <c r="E29">
        <v>83.1</v>
      </c>
      <c r="F29">
        <v>74.47</v>
      </c>
      <c r="G29">
        <v>72.94</v>
      </c>
      <c r="H29">
        <v>90.6</v>
      </c>
      <c r="K29" s="63" t="s">
        <v>8</v>
      </c>
      <c r="L29" s="64">
        <v>2021</v>
      </c>
      <c r="M29" s="65">
        <v>8345.2999999999993</v>
      </c>
      <c r="N29" s="66">
        <v>0</v>
      </c>
      <c r="O29" s="66">
        <v>529.6</v>
      </c>
      <c r="P29" s="66">
        <v>671.5</v>
      </c>
      <c r="Q29" s="66">
        <v>47.999000000000002</v>
      </c>
      <c r="R29" s="60">
        <f t="shared" si="0"/>
        <v>9594.3989999999994</v>
      </c>
      <c r="S29" s="65">
        <v>4407</v>
      </c>
      <c r="T29" s="60">
        <f t="shared" si="1"/>
        <v>14001.398999999999</v>
      </c>
      <c r="U29" s="67">
        <f t="shared" si="2"/>
        <v>68.524573865797265</v>
      </c>
      <c r="V29" s="63">
        <f>H41</f>
        <v>84.75</v>
      </c>
      <c r="W29" s="64">
        <f>H42</f>
        <v>99.78</v>
      </c>
      <c r="X29" s="65">
        <f t="shared" si="3"/>
        <v>58.074576351263183</v>
      </c>
      <c r="Y29" s="68">
        <f t="shared" si="4"/>
        <v>68.373819803292506</v>
      </c>
    </row>
    <row r="30" spans="1:25" x14ac:dyDescent="0.3">
      <c r="A30" t="s">
        <v>132</v>
      </c>
      <c r="B30" t="s">
        <v>2</v>
      </c>
      <c r="C30">
        <v>99.83</v>
      </c>
      <c r="D30">
        <v>99.3</v>
      </c>
      <c r="E30">
        <v>96.9</v>
      </c>
      <c r="F30">
        <v>94.49</v>
      </c>
      <c r="G30">
        <v>100</v>
      </c>
      <c r="H30">
        <v>99.8</v>
      </c>
      <c r="K30" s="56" t="s">
        <v>8</v>
      </c>
      <c r="L30" s="57">
        <v>2022</v>
      </c>
      <c r="M30" s="58">
        <v>8117.4</v>
      </c>
      <c r="N30" s="59">
        <v>0</v>
      </c>
      <c r="O30" s="59">
        <v>579.29999999999995</v>
      </c>
      <c r="P30" s="59">
        <v>703.1</v>
      </c>
      <c r="Q30" s="59">
        <v>73.2</v>
      </c>
      <c r="R30" s="60">
        <f t="shared" si="0"/>
        <v>9473</v>
      </c>
      <c r="S30" s="58">
        <v>4593.55</v>
      </c>
      <c r="T30" s="60">
        <f t="shared" si="1"/>
        <v>14066.55</v>
      </c>
      <c r="U30" s="69">
        <f t="shared" si="2"/>
        <v>67.344160437349601</v>
      </c>
      <c r="V30" s="56">
        <f>H29</f>
        <v>90.6</v>
      </c>
      <c r="W30" s="57">
        <f>H30</f>
        <v>99.8</v>
      </c>
      <c r="X30" s="58">
        <f t="shared" si="3"/>
        <v>61.013809356238738</v>
      </c>
      <c r="Y30" s="62">
        <f t="shared" si="4"/>
        <v>67.209472116474899</v>
      </c>
    </row>
    <row r="31" spans="1:25" x14ac:dyDescent="0.3">
      <c r="K31" s="63" t="s">
        <v>8</v>
      </c>
      <c r="L31" s="64">
        <v>2023</v>
      </c>
      <c r="M31" s="65">
        <v>6140.8</v>
      </c>
      <c r="N31" s="66">
        <v>0</v>
      </c>
      <c r="O31" s="66">
        <v>891.65</v>
      </c>
      <c r="P31" s="66">
        <v>866.82</v>
      </c>
      <c r="Q31" s="66">
        <v>48.6</v>
      </c>
      <c r="R31" s="60">
        <f t="shared" si="0"/>
        <v>7947.87</v>
      </c>
      <c r="S31" s="65">
        <v>6583.51</v>
      </c>
      <c r="T31" s="60">
        <f t="shared" si="1"/>
        <v>14531.380000000001</v>
      </c>
      <c r="U31" s="67">
        <f t="shared" si="2"/>
        <v>54.69453004463444</v>
      </c>
      <c r="V31" s="63">
        <f>H17</f>
        <v>93.7</v>
      </c>
      <c r="W31" s="64">
        <f>H18</f>
        <v>99.9</v>
      </c>
      <c r="X31" s="65">
        <f t="shared" si="3"/>
        <v>51.248774651822465</v>
      </c>
      <c r="Y31" s="68">
        <f t="shared" si="4"/>
        <v>54.639835514589812</v>
      </c>
    </row>
    <row r="32" spans="1:25" x14ac:dyDescent="0.3">
      <c r="K32" s="83" t="s">
        <v>8</v>
      </c>
      <c r="L32" s="84">
        <v>2024</v>
      </c>
      <c r="M32" s="85">
        <v>7817.4919193784999</v>
      </c>
      <c r="N32" s="86">
        <v>0</v>
      </c>
      <c r="O32" s="86">
        <v>667.77153329999999</v>
      </c>
      <c r="P32" s="86">
        <v>1024.5487361999999</v>
      </c>
      <c r="Q32" s="86">
        <v>20.1468132</v>
      </c>
      <c r="R32" s="74">
        <f t="shared" si="0"/>
        <v>9529.9590020785017</v>
      </c>
      <c r="S32" s="85">
        <v>3511.5254684000001</v>
      </c>
      <c r="T32" s="74">
        <f t="shared" si="1"/>
        <v>13041.484470478503</v>
      </c>
      <c r="U32" s="87">
        <f t="shared" si="2"/>
        <v>73.074188936474954</v>
      </c>
      <c r="V32" s="83">
        <f>H5</f>
        <v>97.5</v>
      </c>
      <c r="W32" s="84">
        <f>H6</f>
        <v>99.9</v>
      </c>
      <c r="X32" s="85">
        <f t="shared" si="3"/>
        <v>71.247334213063084</v>
      </c>
      <c r="Y32" s="88">
        <f t="shared" si="4"/>
        <v>73.00111474753848</v>
      </c>
    </row>
    <row r="33" spans="1:25" x14ac:dyDescent="0.3">
      <c r="K33" s="77" t="s">
        <v>133</v>
      </c>
      <c r="L33" s="78">
        <v>2020</v>
      </c>
      <c r="M33" s="79"/>
      <c r="N33" s="80"/>
      <c r="O33" s="80"/>
      <c r="P33" s="80"/>
      <c r="Q33" s="80"/>
      <c r="R33" s="53"/>
      <c r="S33" s="79"/>
      <c r="T33" s="53"/>
      <c r="U33" s="81"/>
      <c r="V33" s="77"/>
      <c r="W33" s="78"/>
      <c r="X33" s="79">
        <f>AVERAGEIF(L3:L32, L3,X3:X32)</f>
        <v>64.063834456623482</v>
      </c>
      <c r="Y33" s="82">
        <f>AVERAGEIF(L3:L32, L3,Y3:Y32)</f>
        <v>74.162445462976166</v>
      </c>
    </row>
    <row r="34" spans="1:25" x14ac:dyDescent="0.3">
      <c r="K34" s="63"/>
      <c r="L34" s="64">
        <v>2021</v>
      </c>
      <c r="M34" s="65"/>
      <c r="N34" s="66"/>
      <c r="O34" s="66"/>
      <c r="P34" s="66"/>
      <c r="Q34" s="66"/>
      <c r="R34" s="60"/>
      <c r="S34" s="65"/>
      <c r="T34" s="60"/>
      <c r="U34" s="67"/>
      <c r="V34" s="63"/>
      <c r="W34" s="64"/>
      <c r="X34" s="65">
        <f>AVERAGEIF(L3:L32,L4,X3:X32)</f>
        <v>65.80089442385021</v>
      </c>
      <c r="Y34" s="68">
        <f>AVERAGEIF(L3:L32,L4,Y3:Y32)</f>
        <v>74.769918610263915</v>
      </c>
    </row>
    <row r="35" spans="1:25" x14ac:dyDescent="0.3">
      <c r="K35" s="56"/>
      <c r="L35" s="57">
        <v>2022</v>
      </c>
      <c r="M35" s="58"/>
      <c r="N35" s="59"/>
      <c r="O35" s="59"/>
      <c r="P35" s="59"/>
      <c r="Q35" s="59"/>
      <c r="R35" s="60"/>
      <c r="S35" s="58"/>
      <c r="T35" s="60"/>
      <c r="U35" s="69"/>
      <c r="V35" s="56"/>
      <c r="W35" s="57"/>
      <c r="X35" s="58">
        <f>AVERAGEIF(L3:L32,L5,X3:X32)</f>
        <v>65.140508154510215</v>
      </c>
      <c r="Y35" s="62">
        <f>AVERAGEIF(L3:L32, L5,Y3:Y32)</f>
        <v>73.523903354056799</v>
      </c>
    </row>
    <row r="36" spans="1:25" x14ac:dyDescent="0.3">
      <c r="K36" s="63"/>
      <c r="L36" s="64">
        <v>2023</v>
      </c>
      <c r="M36" s="65"/>
      <c r="N36" s="66"/>
      <c r="O36" s="66"/>
      <c r="P36" s="66"/>
      <c r="Q36" s="66"/>
      <c r="R36" s="60"/>
      <c r="S36" s="65"/>
      <c r="T36" s="60"/>
      <c r="U36" s="67"/>
      <c r="V36" s="63"/>
      <c r="W36" s="64"/>
      <c r="X36" s="65">
        <f>AVERAGEIF(L3:L32,L6,X3:X32)</f>
        <v>57.086908478052543</v>
      </c>
      <c r="Y36" s="68">
        <f>AVERAGEIF(L3:L32, L6,Y3:Y32)</f>
        <v>63.61292652972093</v>
      </c>
    </row>
    <row r="37" spans="1:25" x14ac:dyDescent="0.3">
      <c r="K37" s="83"/>
      <c r="L37" s="84">
        <v>2024</v>
      </c>
      <c r="M37" s="85"/>
      <c r="N37" s="86"/>
      <c r="O37" s="86"/>
      <c r="P37" s="86"/>
      <c r="Q37" s="86"/>
      <c r="R37" s="74"/>
      <c r="S37" s="85"/>
      <c r="T37" s="74"/>
      <c r="U37" s="87"/>
      <c r="V37" s="83"/>
      <c r="W37" s="84"/>
      <c r="X37" s="85">
        <f>AVERAGEIF(L3:L32,L7,X3:X32)</f>
        <v>59.146171548127036</v>
      </c>
      <c r="Y37" s="88">
        <f>AVERAGEIF(L3:L32, L7,Y3:Y32)</f>
        <v>64.606929679548088</v>
      </c>
    </row>
    <row r="38" spans="1:25" ht="14.25" customHeight="1" x14ac:dyDescent="0.3">
      <c r="A38" s="2">
        <v>2021</v>
      </c>
      <c r="B38" s="2"/>
      <c r="C38" s="2"/>
      <c r="D38" s="2"/>
      <c r="E38" s="2"/>
      <c r="F38" s="2"/>
      <c r="G38" s="2"/>
      <c r="H38" s="2"/>
    </row>
    <row r="39" spans="1:25" x14ac:dyDescent="0.3">
      <c r="A39" t="s">
        <v>128</v>
      </c>
      <c r="B39" t="s">
        <v>129</v>
      </c>
      <c r="C39" t="s">
        <v>3</v>
      </c>
      <c r="D39" t="s">
        <v>4</v>
      </c>
      <c r="E39" t="s">
        <v>5</v>
      </c>
      <c r="F39" t="s">
        <v>6</v>
      </c>
      <c r="G39" t="s">
        <v>7</v>
      </c>
      <c r="H39" t="s">
        <v>8</v>
      </c>
    </row>
    <row r="40" spans="1:25" x14ac:dyDescent="0.3">
      <c r="A40" t="s">
        <v>130</v>
      </c>
      <c r="B40" t="s">
        <v>2</v>
      </c>
      <c r="C40">
        <v>99.4</v>
      </c>
      <c r="D40">
        <v>97.9</v>
      </c>
      <c r="E40">
        <v>89.26</v>
      </c>
      <c r="F40">
        <v>8577</v>
      </c>
      <c r="G40">
        <v>99.09</v>
      </c>
      <c r="H40">
        <v>94.9</v>
      </c>
    </row>
    <row r="41" spans="1:25" x14ac:dyDescent="0.3">
      <c r="A41" t="s">
        <v>131</v>
      </c>
      <c r="B41" t="s">
        <v>2</v>
      </c>
      <c r="C41">
        <v>99.8</v>
      </c>
      <c r="D41">
        <v>95.6</v>
      </c>
      <c r="E41">
        <v>84.2</v>
      </c>
      <c r="F41">
        <v>74.41</v>
      </c>
      <c r="G41">
        <v>72.94</v>
      </c>
      <c r="H41">
        <v>84.75</v>
      </c>
    </row>
    <row r="42" spans="1:25" x14ac:dyDescent="0.3">
      <c r="A42" t="s">
        <v>132</v>
      </c>
      <c r="B42" t="s">
        <v>2</v>
      </c>
      <c r="C42">
        <v>99.87</v>
      </c>
      <c r="D42">
        <v>99.2</v>
      </c>
      <c r="E42">
        <v>97.1</v>
      </c>
      <c r="F42">
        <v>94.65</v>
      </c>
      <c r="G42">
        <v>100</v>
      </c>
      <c r="H42">
        <v>99.78</v>
      </c>
    </row>
    <row r="50" spans="1:8" x14ac:dyDescent="0.3">
      <c r="A50" s="2">
        <v>2020</v>
      </c>
      <c r="B50" s="2"/>
      <c r="C50" s="2"/>
      <c r="D50" s="2"/>
      <c r="E50" s="2"/>
      <c r="F50" s="2"/>
      <c r="G50" s="2"/>
      <c r="H50" s="2"/>
    </row>
    <row r="51" spans="1:8" x14ac:dyDescent="0.3">
      <c r="A51" t="s">
        <v>128</v>
      </c>
      <c r="B51" t="s">
        <v>129</v>
      </c>
      <c r="C51" t="s">
        <v>3</v>
      </c>
      <c r="D51" t="s">
        <v>4</v>
      </c>
      <c r="E51" t="s">
        <v>5</v>
      </c>
      <c r="F51" t="s">
        <v>6</v>
      </c>
      <c r="G51" t="s">
        <v>7</v>
      </c>
      <c r="H51" t="s">
        <v>8</v>
      </c>
    </row>
    <row r="52" spans="1:8" x14ac:dyDescent="0.3">
      <c r="A52" t="s">
        <v>130</v>
      </c>
      <c r="B52" t="s">
        <v>2</v>
      </c>
      <c r="C52">
        <v>99.4</v>
      </c>
      <c r="D52">
        <v>97.8</v>
      </c>
      <c r="E52">
        <v>89.9</v>
      </c>
      <c r="F52">
        <v>85.22</v>
      </c>
      <c r="G52">
        <v>98.5</v>
      </c>
      <c r="H52">
        <v>94.4</v>
      </c>
    </row>
    <row r="53" spans="1:8" x14ac:dyDescent="0.3">
      <c r="A53" t="s">
        <v>131</v>
      </c>
      <c r="B53" t="s">
        <v>2</v>
      </c>
      <c r="C53">
        <v>99.8</v>
      </c>
      <c r="D53">
        <v>95.3</v>
      </c>
      <c r="E53">
        <v>81.3</v>
      </c>
      <c r="F53">
        <v>69.22</v>
      </c>
      <c r="G53">
        <v>72.94</v>
      </c>
      <c r="H53">
        <v>83.02</v>
      </c>
    </row>
    <row r="54" spans="1:8" x14ac:dyDescent="0.3">
      <c r="A54" t="s">
        <v>132</v>
      </c>
      <c r="B54" t="s">
        <v>2</v>
      </c>
      <c r="C54">
        <v>99.87</v>
      </c>
      <c r="D54">
        <v>99.3</v>
      </c>
      <c r="E54">
        <v>96.2</v>
      </c>
      <c r="F54">
        <v>98.26</v>
      </c>
      <c r="G54">
        <v>100</v>
      </c>
      <c r="H54">
        <v>99.7</v>
      </c>
    </row>
  </sheetData>
  <mergeCells count="5">
    <mergeCell ref="A2:H2"/>
    <mergeCell ref="A14:H14"/>
    <mergeCell ref="A26:H26"/>
    <mergeCell ref="A38:H38"/>
    <mergeCell ref="A50:H50"/>
  </mergeCells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83"/>
  <sheetViews>
    <sheetView zoomScaleNormal="100" workbookViewId="0">
      <selection activeCell="L10" sqref="L10"/>
    </sheetView>
  </sheetViews>
  <sheetFormatPr baseColWidth="10" defaultColWidth="10.6640625" defaultRowHeight="14.4" x14ac:dyDescent="0.3"/>
  <sheetData>
    <row r="1" spans="1:8" x14ac:dyDescent="0.3">
      <c r="A1" t="s">
        <v>134</v>
      </c>
    </row>
    <row r="3" spans="1:8" ht="14.25" customHeight="1" x14ac:dyDescent="0.3">
      <c r="A3" s="1" t="s">
        <v>135</v>
      </c>
      <c r="B3" s="1"/>
      <c r="C3" s="1"/>
      <c r="D3" s="1"/>
      <c r="E3" s="1"/>
      <c r="F3" s="1"/>
      <c r="G3" s="1"/>
      <c r="H3" s="1"/>
    </row>
    <row r="4" spans="1:8" x14ac:dyDescent="0.3">
      <c r="A4" s="7" t="s">
        <v>136</v>
      </c>
      <c r="B4" s="7" t="s">
        <v>137</v>
      </c>
      <c r="C4" s="7" t="s">
        <v>4</v>
      </c>
      <c r="D4" s="7" t="s">
        <v>138</v>
      </c>
      <c r="E4" s="7" t="s">
        <v>7</v>
      </c>
      <c r="F4" s="7" t="s">
        <v>3</v>
      </c>
      <c r="G4" s="7" t="s">
        <v>139</v>
      </c>
      <c r="H4" s="7" t="s">
        <v>140</v>
      </c>
    </row>
    <row r="5" spans="1:8" x14ac:dyDescent="0.3">
      <c r="A5" s="6" t="s">
        <v>141</v>
      </c>
      <c r="B5" s="18">
        <v>1530.7</v>
      </c>
      <c r="C5" s="6">
        <v>623.20000000000005</v>
      </c>
      <c r="D5" s="6">
        <v>922.1</v>
      </c>
      <c r="E5" s="6">
        <v>139.19999999999999</v>
      </c>
      <c r="F5" s="18">
        <v>2101.8000000000002</v>
      </c>
      <c r="G5" s="18">
        <v>1778.2</v>
      </c>
      <c r="H5" s="18">
        <f t="shared" ref="H5:H13" si="0">SUM(B5:G5)</f>
        <v>7095.2</v>
      </c>
    </row>
    <row r="6" spans="1:8" x14ac:dyDescent="0.3">
      <c r="A6" s="6" t="s">
        <v>142</v>
      </c>
      <c r="B6" s="6">
        <v>80</v>
      </c>
      <c r="C6" s="6">
        <v>392.3</v>
      </c>
      <c r="D6" s="6">
        <v>504.7</v>
      </c>
      <c r="E6" s="6">
        <v>37</v>
      </c>
      <c r="F6" s="6">
        <v>21.4</v>
      </c>
      <c r="G6" s="6">
        <v>589.1</v>
      </c>
      <c r="H6" s="18">
        <f t="shared" si="0"/>
        <v>1624.5</v>
      </c>
    </row>
    <row r="7" spans="1:8" x14ac:dyDescent="0.3">
      <c r="A7" s="6" t="s">
        <v>143</v>
      </c>
      <c r="B7" s="6">
        <v>102.5</v>
      </c>
      <c r="C7" s="6">
        <v>50</v>
      </c>
      <c r="D7" s="6">
        <v>238.1</v>
      </c>
      <c r="E7" s="6">
        <v>186.6</v>
      </c>
      <c r="F7" s="6">
        <v>395.8</v>
      </c>
      <c r="G7" s="6">
        <v>336</v>
      </c>
      <c r="H7" s="18">
        <f t="shared" si="0"/>
        <v>1309</v>
      </c>
    </row>
    <row r="8" spans="1:8" x14ac:dyDescent="0.3">
      <c r="A8" s="6" t="s">
        <v>144</v>
      </c>
      <c r="B8" s="6">
        <v>54.8</v>
      </c>
      <c r="C8" s="6"/>
      <c r="D8" s="6"/>
      <c r="E8" s="6"/>
      <c r="F8" s="6"/>
      <c r="G8" s="6"/>
      <c r="H8" s="18">
        <f t="shared" si="0"/>
        <v>54.8</v>
      </c>
    </row>
    <row r="9" spans="1:8" x14ac:dyDescent="0.3">
      <c r="A9" s="6" t="s">
        <v>145</v>
      </c>
      <c r="B9" s="6">
        <v>33.6</v>
      </c>
      <c r="C9" s="6">
        <v>181.5</v>
      </c>
      <c r="D9" s="6">
        <v>35</v>
      </c>
      <c r="E9" s="6">
        <v>110</v>
      </c>
      <c r="F9" s="6">
        <v>206.7</v>
      </c>
      <c r="G9" s="6"/>
      <c r="H9" s="18">
        <f t="shared" si="0"/>
        <v>566.79999999999995</v>
      </c>
    </row>
    <row r="10" spans="1:8" x14ac:dyDescent="0.3">
      <c r="A10" s="6" t="s">
        <v>146</v>
      </c>
      <c r="B10" s="6">
        <v>671.2</v>
      </c>
      <c r="C10" s="6">
        <v>208</v>
      </c>
      <c r="D10" s="6">
        <v>233.9</v>
      </c>
      <c r="E10" s="6">
        <v>146</v>
      </c>
      <c r="F10" s="6">
        <v>37.299999999999997</v>
      </c>
      <c r="G10" s="6">
        <v>40.1</v>
      </c>
      <c r="H10" s="18">
        <f t="shared" si="0"/>
        <v>1336.5</v>
      </c>
    </row>
    <row r="11" spans="1:8" x14ac:dyDescent="0.3">
      <c r="A11" s="6" t="s">
        <v>147</v>
      </c>
      <c r="B11" s="6">
        <v>2.6</v>
      </c>
      <c r="C11" s="6">
        <v>378.5</v>
      </c>
      <c r="D11" s="6"/>
      <c r="E11" s="6"/>
      <c r="F11" s="6"/>
      <c r="G11" s="6">
        <v>381</v>
      </c>
      <c r="H11" s="18">
        <f t="shared" si="0"/>
        <v>762.1</v>
      </c>
    </row>
    <row r="12" spans="1:8" x14ac:dyDescent="0.3">
      <c r="A12" s="6" t="s">
        <v>148</v>
      </c>
      <c r="B12" s="6">
        <v>483.4</v>
      </c>
      <c r="C12" s="6"/>
      <c r="D12" s="6">
        <v>105</v>
      </c>
      <c r="E12" s="6"/>
      <c r="F12" s="6"/>
      <c r="G12" s="6">
        <v>300</v>
      </c>
      <c r="H12" s="18">
        <f t="shared" si="0"/>
        <v>888.4</v>
      </c>
    </row>
    <row r="13" spans="1:8" x14ac:dyDescent="0.3">
      <c r="A13" s="6" t="s">
        <v>149</v>
      </c>
      <c r="B13" s="6">
        <v>619.29999999999995</v>
      </c>
      <c r="C13" s="6">
        <v>708.7</v>
      </c>
      <c r="D13" s="18">
        <v>1008.7</v>
      </c>
      <c r="E13" s="6">
        <v>548.9</v>
      </c>
      <c r="F13" s="6">
        <v>310.89999999999998</v>
      </c>
      <c r="G13" s="6">
        <v>708.8</v>
      </c>
      <c r="H13" s="18">
        <f t="shared" si="0"/>
        <v>3905.3</v>
      </c>
    </row>
    <row r="14" spans="1:8" x14ac:dyDescent="0.3">
      <c r="A14" s="7" t="s">
        <v>150</v>
      </c>
      <c r="B14" s="90">
        <f t="shared" ref="B14:H14" si="1">SUM(B5:B13)</f>
        <v>3578.1000000000004</v>
      </c>
      <c r="C14" s="90">
        <f t="shared" si="1"/>
        <v>2542.1999999999998</v>
      </c>
      <c r="D14" s="90">
        <f t="shared" si="1"/>
        <v>3047.5</v>
      </c>
      <c r="E14" s="90">
        <f t="shared" si="1"/>
        <v>1167.6999999999998</v>
      </c>
      <c r="F14" s="90">
        <f t="shared" si="1"/>
        <v>3073.9000000000005</v>
      </c>
      <c r="G14" s="90">
        <f t="shared" si="1"/>
        <v>4133.2</v>
      </c>
      <c r="H14" s="90">
        <f t="shared" si="1"/>
        <v>17542.599999999999</v>
      </c>
    </row>
    <row r="15" spans="1:8" x14ac:dyDescent="0.3">
      <c r="A15" s="20" t="s">
        <v>151</v>
      </c>
      <c r="B15" s="91">
        <f t="shared" ref="B15:H15" si="2">SUM(B5:B10)</f>
        <v>2472.8000000000002</v>
      </c>
      <c r="C15" s="91">
        <f t="shared" si="2"/>
        <v>1455</v>
      </c>
      <c r="D15" s="91">
        <f t="shared" si="2"/>
        <v>1933.8</v>
      </c>
      <c r="E15" s="91">
        <f t="shared" si="2"/>
        <v>618.79999999999995</v>
      </c>
      <c r="F15" s="91">
        <f t="shared" si="2"/>
        <v>2763.0000000000005</v>
      </c>
      <c r="G15" s="91">
        <f t="shared" si="2"/>
        <v>2743.4</v>
      </c>
      <c r="H15" s="91">
        <f t="shared" si="2"/>
        <v>11986.8</v>
      </c>
    </row>
    <row r="16" spans="1:8" x14ac:dyDescent="0.3">
      <c r="A16" s="7" t="s">
        <v>152</v>
      </c>
      <c r="B16" s="92">
        <f t="shared" ref="B16:H16" si="3">(B15*100)/B14</f>
        <v>69.109303820463381</v>
      </c>
      <c r="C16" s="92">
        <f t="shared" si="3"/>
        <v>57.233891904649518</v>
      </c>
      <c r="D16" s="92">
        <f t="shared" si="3"/>
        <v>63.45529122231337</v>
      </c>
      <c r="E16" s="92">
        <f t="shared" si="3"/>
        <v>52.993063286803121</v>
      </c>
      <c r="F16" s="92">
        <f t="shared" si="3"/>
        <v>89.885812811086893</v>
      </c>
      <c r="G16" s="92">
        <f t="shared" si="3"/>
        <v>66.37472176521824</v>
      </c>
      <c r="H16" s="92">
        <f t="shared" si="3"/>
        <v>68.329666070023833</v>
      </c>
    </row>
    <row r="21" spans="1:8" ht="14.25" customHeight="1" x14ac:dyDescent="0.3">
      <c r="A21" s="1" t="s">
        <v>153</v>
      </c>
      <c r="B21" s="1"/>
      <c r="C21" s="1"/>
      <c r="D21" s="1"/>
      <c r="E21" s="1"/>
      <c r="F21" s="1"/>
      <c r="G21" s="1"/>
      <c r="H21" s="1"/>
    </row>
    <row r="22" spans="1:8" x14ac:dyDescent="0.3">
      <c r="A22" s="20" t="s">
        <v>136</v>
      </c>
      <c r="B22" s="20" t="s">
        <v>137</v>
      </c>
      <c r="C22" s="20" t="s">
        <v>4</v>
      </c>
      <c r="D22" s="20" t="s">
        <v>138</v>
      </c>
      <c r="E22" s="20" t="s">
        <v>7</v>
      </c>
      <c r="F22" s="20" t="s">
        <v>3</v>
      </c>
      <c r="G22" s="20" t="s">
        <v>139</v>
      </c>
      <c r="H22" s="20" t="s">
        <v>140</v>
      </c>
    </row>
    <row r="23" spans="1:8" x14ac:dyDescent="0.3">
      <c r="A23" s="6" t="s">
        <v>141</v>
      </c>
      <c r="B23" s="18">
        <v>1530.7</v>
      </c>
      <c r="C23" s="6">
        <v>557.20000000000005</v>
      </c>
      <c r="D23" s="6">
        <v>922.1</v>
      </c>
      <c r="E23" s="6">
        <v>139.19999999999999</v>
      </c>
      <c r="F23" s="18">
        <v>2147.4</v>
      </c>
      <c r="G23" s="18">
        <v>1776.6</v>
      </c>
      <c r="H23" s="18">
        <f t="shared" ref="H23:H31" si="4">SUM(B23:G23)</f>
        <v>7073.2000000000007</v>
      </c>
    </row>
    <row r="24" spans="1:8" x14ac:dyDescent="0.3">
      <c r="A24" s="6" t="s">
        <v>142</v>
      </c>
      <c r="B24" s="6">
        <v>80</v>
      </c>
      <c r="C24" s="6">
        <v>219</v>
      </c>
      <c r="D24" s="6">
        <v>504.7</v>
      </c>
      <c r="E24" s="6">
        <v>37</v>
      </c>
      <c r="F24" s="6">
        <v>21.4</v>
      </c>
      <c r="G24" s="6">
        <v>594.29999999999995</v>
      </c>
      <c r="H24" s="18">
        <f t="shared" si="4"/>
        <v>1456.4</v>
      </c>
    </row>
    <row r="25" spans="1:8" x14ac:dyDescent="0.3">
      <c r="A25" s="6" t="s">
        <v>143</v>
      </c>
      <c r="B25" s="6">
        <v>102.5</v>
      </c>
      <c r="C25" s="6">
        <v>50</v>
      </c>
      <c r="D25" s="6">
        <v>238.1</v>
      </c>
      <c r="E25" s="6">
        <v>186.6</v>
      </c>
      <c r="F25" s="6">
        <v>402.3</v>
      </c>
      <c r="G25" s="6">
        <v>336</v>
      </c>
      <c r="H25" s="18">
        <f t="shared" si="4"/>
        <v>1315.5</v>
      </c>
    </row>
    <row r="26" spans="1:8" x14ac:dyDescent="0.3">
      <c r="A26" s="6" t="s">
        <v>144</v>
      </c>
      <c r="B26" s="6">
        <v>54.8</v>
      </c>
      <c r="C26" s="6"/>
      <c r="D26" s="6"/>
      <c r="E26" s="6"/>
      <c r="F26" s="6"/>
      <c r="G26" s="6"/>
      <c r="H26" s="18">
        <f t="shared" si="4"/>
        <v>54.8</v>
      </c>
    </row>
    <row r="27" spans="1:8" x14ac:dyDescent="0.3">
      <c r="A27" s="6" t="s">
        <v>145</v>
      </c>
      <c r="B27" s="6">
        <v>33.6</v>
      </c>
      <c r="C27" s="6">
        <v>174.5</v>
      </c>
      <c r="D27" s="6">
        <v>35</v>
      </c>
      <c r="E27" s="6">
        <v>110</v>
      </c>
      <c r="F27" s="6">
        <v>212.7</v>
      </c>
      <c r="G27" s="6"/>
      <c r="H27" s="18">
        <f t="shared" si="4"/>
        <v>565.79999999999995</v>
      </c>
    </row>
    <row r="28" spans="1:8" x14ac:dyDescent="0.3">
      <c r="A28" s="6" t="s">
        <v>146</v>
      </c>
      <c r="B28" s="6">
        <v>671.2</v>
      </c>
      <c r="C28" s="6">
        <v>208</v>
      </c>
      <c r="D28" s="6">
        <v>233.9</v>
      </c>
      <c r="E28" s="6">
        <v>146</v>
      </c>
      <c r="F28" s="6">
        <v>37.299999999999997</v>
      </c>
      <c r="G28" s="6">
        <v>40.1</v>
      </c>
      <c r="H28" s="18">
        <f t="shared" si="4"/>
        <v>1336.5</v>
      </c>
    </row>
    <row r="29" spans="1:8" x14ac:dyDescent="0.3">
      <c r="A29" s="6" t="s">
        <v>147</v>
      </c>
      <c r="B29" s="6">
        <v>2.6</v>
      </c>
      <c r="C29" s="6">
        <v>378.5</v>
      </c>
      <c r="D29" s="6"/>
      <c r="E29" s="6"/>
      <c r="F29" s="6"/>
      <c r="G29" s="6">
        <v>381</v>
      </c>
      <c r="H29" s="18">
        <f t="shared" si="4"/>
        <v>762.1</v>
      </c>
    </row>
    <row r="30" spans="1:8" x14ac:dyDescent="0.3">
      <c r="A30" s="6" t="s">
        <v>148</v>
      </c>
      <c r="B30" s="6">
        <v>483.4</v>
      </c>
      <c r="C30" s="6"/>
      <c r="D30" s="6">
        <v>105</v>
      </c>
      <c r="E30" s="6"/>
      <c r="F30" s="6"/>
      <c r="G30" s="6">
        <v>300</v>
      </c>
      <c r="H30" s="18">
        <f t="shared" si="4"/>
        <v>888.4</v>
      </c>
    </row>
    <row r="31" spans="1:8" x14ac:dyDescent="0.3">
      <c r="A31" s="6" t="s">
        <v>149</v>
      </c>
      <c r="B31" s="6">
        <v>619.29999999999995</v>
      </c>
      <c r="C31" s="6">
        <v>708.7</v>
      </c>
      <c r="D31" s="18">
        <v>1008.7</v>
      </c>
      <c r="E31" s="6">
        <v>767.9</v>
      </c>
      <c r="F31" s="6">
        <v>310.89999999999998</v>
      </c>
      <c r="G31" s="6">
        <v>708.8</v>
      </c>
      <c r="H31" s="18">
        <f t="shared" si="4"/>
        <v>4124.3</v>
      </c>
    </row>
    <row r="32" spans="1:8" x14ac:dyDescent="0.3">
      <c r="A32" s="7" t="s">
        <v>150</v>
      </c>
      <c r="B32" s="90">
        <f t="shared" ref="B32:H32" si="5">SUM(B23:B31)</f>
        <v>3578.1000000000004</v>
      </c>
      <c r="C32" s="90">
        <f t="shared" si="5"/>
        <v>2295.9</v>
      </c>
      <c r="D32" s="90">
        <f t="shared" si="5"/>
        <v>3047.5</v>
      </c>
      <c r="E32" s="90">
        <f t="shared" si="5"/>
        <v>1386.6999999999998</v>
      </c>
      <c r="F32" s="90">
        <f t="shared" si="5"/>
        <v>3132.0000000000005</v>
      </c>
      <c r="G32" s="90">
        <f t="shared" si="5"/>
        <v>4136.7999999999993</v>
      </c>
      <c r="H32" s="90">
        <f t="shared" si="5"/>
        <v>17577</v>
      </c>
    </row>
    <row r="33" spans="1:8" x14ac:dyDescent="0.3">
      <c r="A33" s="20" t="s">
        <v>154</v>
      </c>
      <c r="B33" s="91">
        <f t="shared" ref="B33:H33" si="6">SUM(B23:B28)</f>
        <v>2472.8000000000002</v>
      </c>
      <c r="C33" s="91">
        <f t="shared" si="6"/>
        <v>1208.7</v>
      </c>
      <c r="D33" s="91">
        <f t="shared" si="6"/>
        <v>1933.8</v>
      </c>
      <c r="E33" s="91">
        <f t="shared" si="6"/>
        <v>618.79999999999995</v>
      </c>
      <c r="F33" s="91">
        <f t="shared" si="6"/>
        <v>2821.1000000000004</v>
      </c>
      <c r="G33" s="91">
        <f t="shared" si="6"/>
        <v>2746.9999999999995</v>
      </c>
      <c r="H33" s="91">
        <f t="shared" si="6"/>
        <v>11802.199999999999</v>
      </c>
    </row>
    <row r="34" spans="1:8" x14ac:dyDescent="0.3">
      <c r="A34" s="7" t="s">
        <v>152</v>
      </c>
      <c r="B34" s="92">
        <f t="shared" ref="B34:H34" si="7">(B33*100)/B32</f>
        <v>69.109303820463381</v>
      </c>
      <c r="C34" s="92">
        <f t="shared" si="7"/>
        <v>52.646021168169341</v>
      </c>
      <c r="D34" s="92">
        <f t="shared" si="7"/>
        <v>63.45529122231337</v>
      </c>
      <c r="E34" s="92">
        <f t="shared" si="7"/>
        <v>44.623927309439679</v>
      </c>
      <c r="F34" s="92">
        <f t="shared" si="7"/>
        <v>90.073435504469998</v>
      </c>
      <c r="G34" s="92">
        <f t="shared" si="7"/>
        <v>66.40398375555985</v>
      </c>
      <c r="H34" s="92">
        <f t="shared" si="7"/>
        <v>67.145701769357686</v>
      </c>
    </row>
    <row r="39" spans="1:8" ht="14.25" customHeight="1" x14ac:dyDescent="0.3">
      <c r="A39" s="1" t="s">
        <v>155</v>
      </c>
      <c r="B39" s="1"/>
      <c r="C39" s="1"/>
      <c r="D39" s="1"/>
      <c r="E39" s="1"/>
      <c r="F39" s="1"/>
      <c r="G39" s="1"/>
      <c r="H39" s="1"/>
    </row>
    <row r="40" spans="1:8" x14ac:dyDescent="0.3">
      <c r="A40" s="20" t="s">
        <v>136</v>
      </c>
      <c r="B40" s="20" t="s">
        <v>137</v>
      </c>
      <c r="C40" s="20" t="s">
        <v>4</v>
      </c>
      <c r="D40" s="20" t="s">
        <v>138</v>
      </c>
      <c r="E40" s="20" t="s">
        <v>7</v>
      </c>
      <c r="F40" s="20" t="s">
        <v>3</v>
      </c>
      <c r="G40" s="20" t="s">
        <v>139</v>
      </c>
      <c r="H40" s="20" t="s">
        <v>140</v>
      </c>
    </row>
    <row r="41" spans="1:8" x14ac:dyDescent="0.3">
      <c r="A41" s="6" t="s">
        <v>141</v>
      </c>
      <c r="B41" s="18">
        <v>1530.7</v>
      </c>
      <c r="C41" s="6">
        <v>557.20000000000005</v>
      </c>
      <c r="D41" s="6">
        <v>925.2</v>
      </c>
      <c r="E41" s="6">
        <v>139.19999999999999</v>
      </c>
      <c r="F41" s="18">
        <v>2032.7</v>
      </c>
      <c r="G41" s="18">
        <v>1797.5</v>
      </c>
      <c r="H41" s="18">
        <f t="shared" ref="H41:H49" si="8">SUM(B41:G41)</f>
        <v>6982.5</v>
      </c>
    </row>
    <row r="42" spans="1:8" x14ac:dyDescent="0.3">
      <c r="A42" s="6" t="s">
        <v>142</v>
      </c>
      <c r="B42" s="6">
        <v>80</v>
      </c>
      <c r="C42" s="6">
        <v>219</v>
      </c>
      <c r="D42" s="6">
        <v>504.7</v>
      </c>
      <c r="E42" s="6">
        <v>12</v>
      </c>
      <c r="F42" s="6">
        <v>16.399999999999999</v>
      </c>
      <c r="G42" s="6">
        <v>380.7</v>
      </c>
      <c r="H42" s="18">
        <f t="shared" si="8"/>
        <v>1212.8</v>
      </c>
    </row>
    <row r="43" spans="1:8" x14ac:dyDescent="0.3">
      <c r="A43" s="6" t="s">
        <v>143</v>
      </c>
      <c r="B43" s="6">
        <v>102.5</v>
      </c>
      <c r="C43" s="6">
        <v>50</v>
      </c>
      <c r="D43" s="6">
        <v>240.3</v>
      </c>
      <c r="E43" s="6">
        <v>186.6</v>
      </c>
      <c r="F43" s="6">
        <v>395.8</v>
      </c>
      <c r="G43" s="6">
        <v>270</v>
      </c>
      <c r="H43" s="18">
        <f t="shared" si="8"/>
        <v>1245.2</v>
      </c>
    </row>
    <row r="44" spans="1:8" x14ac:dyDescent="0.3">
      <c r="A44" s="6" t="s">
        <v>144</v>
      </c>
      <c r="B44" s="6">
        <v>43</v>
      </c>
      <c r="C44" s="6"/>
      <c r="D44" s="6"/>
      <c r="E44" s="6"/>
      <c r="F44" s="6"/>
      <c r="G44" s="6"/>
      <c r="H44" s="18">
        <f t="shared" si="8"/>
        <v>43</v>
      </c>
    </row>
    <row r="45" spans="1:8" x14ac:dyDescent="0.3">
      <c r="A45" s="6" t="s">
        <v>145</v>
      </c>
      <c r="B45" s="6">
        <v>33.6</v>
      </c>
      <c r="C45" s="6">
        <v>174.5</v>
      </c>
      <c r="D45" s="6">
        <v>35</v>
      </c>
      <c r="E45" s="6">
        <v>110</v>
      </c>
      <c r="F45" s="6">
        <v>207.7</v>
      </c>
      <c r="G45" s="6"/>
      <c r="H45" s="18">
        <f t="shared" si="8"/>
        <v>560.79999999999995</v>
      </c>
    </row>
    <row r="46" spans="1:8" x14ac:dyDescent="0.3">
      <c r="A46" s="6" t="s">
        <v>146</v>
      </c>
      <c r="B46" s="6">
        <v>671.2</v>
      </c>
      <c r="C46" s="6">
        <v>208</v>
      </c>
      <c r="D46" s="6">
        <v>233.9</v>
      </c>
      <c r="E46" s="6">
        <v>119</v>
      </c>
      <c r="F46" s="6">
        <v>37.299999999999997</v>
      </c>
      <c r="G46" s="6">
        <v>8.1</v>
      </c>
      <c r="H46" s="18">
        <f t="shared" si="8"/>
        <v>1277.5</v>
      </c>
    </row>
    <row r="47" spans="1:8" x14ac:dyDescent="0.3">
      <c r="A47" s="6" t="s">
        <v>147</v>
      </c>
      <c r="B47" s="6">
        <v>2.6</v>
      </c>
      <c r="C47" s="6"/>
      <c r="D47" s="6"/>
      <c r="E47" s="6"/>
      <c r="F47" s="6"/>
      <c r="G47" s="6">
        <v>381</v>
      </c>
      <c r="H47" s="18">
        <f t="shared" si="8"/>
        <v>383.6</v>
      </c>
    </row>
    <row r="48" spans="1:8" x14ac:dyDescent="0.3">
      <c r="A48" s="6" t="s">
        <v>148</v>
      </c>
      <c r="B48" s="6">
        <v>513.4</v>
      </c>
      <c r="C48" s="6"/>
      <c r="D48" s="6">
        <v>105</v>
      </c>
      <c r="E48" s="6"/>
      <c r="F48" s="6"/>
      <c r="G48" s="6">
        <v>433</v>
      </c>
      <c r="H48" s="18">
        <f t="shared" si="8"/>
        <v>1051.4000000000001</v>
      </c>
    </row>
    <row r="49" spans="1:8" x14ac:dyDescent="0.3">
      <c r="A49" s="6" t="s">
        <v>149</v>
      </c>
      <c r="B49" s="6">
        <v>676.4</v>
      </c>
      <c r="C49" s="6">
        <v>708.7</v>
      </c>
      <c r="D49" s="18">
        <v>935.5</v>
      </c>
      <c r="E49" s="6">
        <v>767.9</v>
      </c>
      <c r="F49" s="6">
        <v>353</v>
      </c>
      <c r="G49" s="18">
        <v>1148.2</v>
      </c>
      <c r="H49" s="18">
        <f t="shared" si="8"/>
        <v>4589.7</v>
      </c>
    </row>
    <row r="50" spans="1:8" x14ac:dyDescent="0.3">
      <c r="A50" s="7" t="s">
        <v>150</v>
      </c>
      <c r="B50" s="90">
        <f t="shared" ref="B50:H50" si="9">SUM(B41:B49)</f>
        <v>3653.4</v>
      </c>
      <c r="C50" s="90">
        <f t="shared" si="9"/>
        <v>1917.4</v>
      </c>
      <c r="D50" s="90">
        <f t="shared" si="9"/>
        <v>2979.6000000000004</v>
      </c>
      <c r="E50" s="90">
        <f t="shared" si="9"/>
        <v>1334.6999999999998</v>
      </c>
      <c r="F50" s="90">
        <f t="shared" si="9"/>
        <v>3042.9</v>
      </c>
      <c r="G50" s="90">
        <f t="shared" si="9"/>
        <v>4418.5</v>
      </c>
      <c r="H50" s="90">
        <f t="shared" si="9"/>
        <v>17346.5</v>
      </c>
    </row>
    <row r="51" spans="1:8" x14ac:dyDescent="0.3">
      <c r="A51" s="20" t="s">
        <v>154</v>
      </c>
      <c r="B51" s="91">
        <f t="shared" ref="B51:H51" si="10">SUM(B41:B46)</f>
        <v>2461</v>
      </c>
      <c r="C51" s="91">
        <f t="shared" si="10"/>
        <v>1208.7</v>
      </c>
      <c r="D51" s="91">
        <f t="shared" si="10"/>
        <v>1939.1000000000001</v>
      </c>
      <c r="E51" s="91">
        <f t="shared" si="10"/>
        <v>566.79999999999995</v>
      </c>
      <c r="F51" s="91">
        <f t="shared" si="10"/>
        <v>2689.9</v>
      </c>
      <c r="G51" s="91">
        <f t="shared" si="10"/>
        <v>2456.2999999999997</v>
      </c>
      <c r="H51" s="91">
        <f t="shared" si="10"/>
        <v>11321.8</v>
      </c>
    </row>
    <row r="52" spans="1:8" x14ac:dyDescent="0.3">
      <c r="A52" s="7" t="s">
        <v>156</v>
      </c>
      <c r="B52" s="92">
        <f t="shared" ref="B52:H52" si="11">(B51*100)/B50</f>
        <v>67.361909454207037</v>
      </c>
      <c r="C52" s="92">
        <f t="shared" si="11"/>
        <v>63.03848962136226</v>
      </c>
      <c r="D52" s="92">
        <f t="shared" si="11"/>
        <v>65.079205262451325</v>
      </c>
      <c r="E52" s="92">
        <f t="shared" si="11"/>
        <v>42.466471866337002</v>
      </c>
      <c r="F52" s="92">
        <f t="shared" si="11"/>
        <v>88.399224424069146</v>
      </c>
      <c r="G52" s="92">
        <f t="shared" si="11"/>
        <v>55.591264003621134</v>
      </c>
      <c r="H52" s="92">
        <f t="shared" si="11"/>
        <v>65.268497967889772</v>
      </c>
    </row>
    <row r="57" spans="1:8" ht="14.25" customHeight="1" x14ac:dyDescent="0.3">
      <c r="A57" s="1" t="s">
        <v>157</v>
      </c>
      <c r="B57" s="1"/>
      <c r="C57" s="1"/>
      <c r="D57" s="1"/>
      <c r="E57" s="1"/>
      <c r="F57" s="1"/>
      <c r="G57" s="1"/>
      <c r="H57" s="1"/>
    </row>
    <row r="58" spans="1:8" x14ac:dyDescent="0.3">
      <c r="A58" s="20" t="s">
        <v>136</v>
      </c>
      <c r="B58" s="20" t="s">
        <v>137</v>
      </c>
      <c r="C58" s="20" t="s">
        <v>4</v>
      </c>
      <c r="D58" s="20" t="s">
        <v>138</v>
      </c>
      <c r="E58" s="20" t="s">
        <v>7</v>
      </c>
      <c r="F58" s="20" t="s">
        <v>3</v>
      </c>
      <c r="G58" s="20" t="s">
        <v>139</v>
      </c>
      <c r="H58" s="20" t="s">
        <v>140</v>
      </c>
    </row>
    <row r="59" spans="1:8" x14ac:dyDescent="0.3">
      <c r="A59" s="6" t="s">
        <v>141</v>
      </c>
      <c r="B59" s="18">
        <v>1573.8</v>
      </c>
      <c r="C59" s="6">
        <v>622.9</v>
      </c>
      <c r="D59" s="6">
        <v>849</v>
      </c>
      <c r="E59" s="6">
        <v>139.19999999999999</v>
      </c>
      <c r="F59" s="18">
        <v>2343.6</v>
      </c>
      <c r="G59" s="18">
        <v>1896.6</v>
      </c>
      <c r="H59" s="18">
        <f t="shared" ref="H59:H67" si="12">SUM(B59:G59)</f>
        <v>7425.1</v>
      </c>
    </row>
    <row r="60" spans="1:8" x14ac:dyDescent="0.3">
      <c r="A60" s="6" t="s">
        <v>142</v>
      </c>
      <c r="B60" s="6">
        <v>80</v>
      </c>
      <c r="C60" s="6">
        <v>213.9</v>
      </c>
      <c r="D60" s="6">
        <v>506.6</v>
      </c>
      <c r="E60" s="6">
        <v>12</v>
      </c>
      <c r="F60" s="6">
        <v>21.4</v>
      </c>
      <c r="G60" s="6">
        <v>315.7</v>
      </c>
      <c r="H60" s="18">
        <f t="shared" si="12"/>
        <v>1149.5999999999999</v>
      </c>
    </row>
    <row r="61" spans="1:8" x14ac:dyDescent="0.3">
      <c r="A61" s="6" t="s">
        <v>143</v>
      </c>
      <c r="B61" s="6">
        <v>102.5</v>
      </c>
      <c r="C61" s="6">
        <v>50</v>
      </c>
      <c r="D61" s="6">
        <v>240.3</v>
      </c>
      <c r="E61" s="6">
        <v>186.6</v>
      </c>
      <c r="F61" s="6">
        <v>403.6</v>
      </c>
      <c r="G61" s="6">
        <v>270</v>
      </c>
      <c r="H61" s="18">
        <f t="shared" si="12"/>
        <v>1253</v>
      </c>
    </row>
    <row r="62" spans="1:8" x14ac:dyDescent="0.3">
      <c r="A62" s="6" t="s">
        <v>145</v>
      </c>
      <c r="B62" s="6">
        <v>33.6</v>
      </c>
      <c r="C62" s="6">
        <v>174.5</v>
      </c>
      <c r="D62" s="6">
        <v>35</v>
      </c>
      <c r="E62" s="6">
        <v>110</v>
      </c>
      <c r="F62" s="6">
        <v>207.7</v>
      </c>
      <c r="G62" s="6"/>
      <c r="H62" s="18">
        <f t="shared" si="12"/>
        <v>560.79999999999995</v>
      </c>
    </row>
    <row r="63" spans="1:8" x14ac:dyDescent="0.3">
      <c r="A63" s="6" t="s">
        <v>146</v>
      </c>
      <c r="B63" s="6">
        <v>691.8</v>
      </c>
      <c r="C63" s="6">
        <v>208</v>
      </c>
      <c r="D63" s="6">
        <v>190.9</v>
      </c>
      <c r="E63" s="6">
        <v>119</v>
      </c>
      <c r="F63" s="6">
        <v>37.299999999999997</v>
      </c>
      <c r="G63" s="6">
        <v>8.1</v>
      </c>
      <c r="H63" s="18">
        <f t="shared" si="12"/>
        <v>1255.0999999999999</v>
      </c>
    </row>
    <row r="64" spans="1:8" x14ac:dyDescent="0.3">
      <c r="A64" s="6" t="s">
        <v>147</v>
      </c>
      <c r="B64" s="6">
        <v>2.6</v>
      </c>
      <c r="C64" s="6"/>
      <c r="D64" s="6"/>
      <c r="E64" s="6"/>
      <c r="F64" s="6"/>
      <c r="G64" s="6">
        <v>606</v>
      </c>
      <c r="H64" s="18">
        <f t="shared" si="12"/>
        <v>608.6</v>
      </c>
    </row>
    <row r="65" spans="1:8" x14ac:dyDescent="0.3">
      <c r="A65" s="6" t="s">
        <v>148</v>
      </c>
      <c r="B65" s="6">
        <v>513.4</v>
      </c>
      <c r="C65" s="6"/>
      <c r="D65" s="6">
        <v>142.80000000000001</v>
      </c>
      <c r="E65" s="6"/>
      <c r="F65" s="6"/>
      <c r="G65" s="6">
        <v>407</v>
      </c>
      <c r="H65" s="18">
        <f t="shared" si="12"/>
        <v>1063.2</v>
      </c>
    </row>
    <row r="66" spans="1:8" x14ac:dyDescent="0.3">
      <c r="A66" s="6" t="s">
        <v>149</v>
      </c>
      <c r="B66" s="6">
        <v>714.3</v>
      </c>
      <c r="C66" s="6">
        <v>708.7</v>
      </c>
      <c r="D66" s="18">
        <v>808.9</v>
      </c>
      <c r="E66" s="6">
        <v>767.9</v>
      </c>
      <c r="F66" s="6">
        <v>418.3</v>
      </c>
      <c r="G66" s="18">
        <v>1389.2</v>
      </c>
      <c r="H66" s="18">
        <f t="shared" si="12"/>
        <v>4807.3</v>
      </c>
    </row>
    <row r="67" spans="1:8" x14ac:dyDescent="0.3">
      <c r="A67" s="7" t="s">
        <v>150</v>
      </c>
      <c r="B67" s="90">
        <f t="shared" ref="B67:G67" si="13">SUM(B59:B66)</f>
        <v>3712</v>
      </c>
      <c r="C67" s="90">
        <f t="shared" si="13"/>
        <v>1978</v>
      </c>
      <c r="D67" s="90">
        <f t="shared" si="13"/>
        <v>2773.5</v>
      </c>
      <c r="E67" s="90">
        <f t="shared" si="13"/>
        <v>1334.6999999999998</v>
      </c>
      <c r="F67" s="90">
        <f t="shared" si="13"/>
        <v>3431.9</v>
      </c>
      <c r="G67" s="90">
        <f t="shared" si="13"/>
        <v>4892.5999999999995</v>
      </c>
      <c r="H67" s="90">
        <f t="shared" si="12"/>
        <v>18122.7</v>
      </c>
    </row>
    <row r="68" spans="1:8" x14ac:dyDescent="0.3">
      <c r="A68" s="20" t="str">
        <f>A51</f>
        <v>total renovable</v>
      </c>
      <c r="B68" s="91">
        <f t="shared" ref="B68:H68" si="14">SUM(B59:B63)</f>
        <v>2481.6999999999998</v>
      </c>
      <c r="C68" s="91">
        <f t="shared" si="14"/>
        <v>1269.3</v>
      </c>
      <c r="D68" s="91">
        <f t="shared" si="14"/>
        <v>1821.8</v>
      </c>
      <c r="E68" s="91">
        <f t="shared" si="14"/>
        <v>566.79999999999995</v>
      </c>
      <c r="F68" s="91">
        <f t="shared" si="14"/>
        <v>3013.6</v>
      </c>
      <c r="G68" s="91">
        <f t="shared" si="14"/>
        <v>2490.3999999999996</v>
      </c>
      <c r="H68" s="91">
        <f t="shared" si="14"/>
        <v>11643.6</v>
      </c>
    </row>
    <row r="69" spans="1:8" x14ac:dyDescent="0.3">
      <c r="A69" s="7" t="str">
        <f>A52</f>
        <v>% de energía renovable</v>
      </c>
      <c r="B69" s="92">
        <f t="shared" ref="B69:H69" si="15">(B68*100)/B67</f>
        <v>66.856142241379303</v>
      </c>
      <c r="C69" s="92">
        <f t="shared" si="15"/>
        <v>64.170879676440848</v>
      </c>
      <c r="D69" s="92">
        <f t="shared" si="15"/>
        <v>65.685956372814132</v>
      </c>
      <c r="E69" s="92">
        <f t="shared" si="15"/>
        <v>42.466471866337002</v>
      </c>
      <c r="F69" s="92">
        <f t="shared" si="15"/>
        <v>87.811416416562253</v>
      </c>
      <c r="G69" s="92">
        <f t="shared" si="15"/>
        <v>50.901361239422805</v>
      </c>
      <c r="H69" s="92">
        <f t="shared" si="15"/>
        <v>64.248704663212436</v>
      </c>
    </row>
    <row r="73" spans="1:8" ht="14.25" customHeight="1" x14ac:dyDescent="0.3">
      <c r="A73" s="1" t="s">
        <v>158</v>
      </c>
      <c r="B73" s="1"/>
      <c r="C73" s="1"/>
      <c r="D73" s="1"/>
      <c r="E73" s="1"/>
      <c r="F73" s="1"/>
      <c r="G73" s="1"/>
      <c r="H73" s="1"/>
    </row>
    <row r="74" spans="1:8" x14ac:dyDescent="0.3">
      <c r="A74" s="20" t="s">
        <v>136</v>
      </c>
      <c r="B74" s="20" t="s">
        <v>137</v>
      </c>
      <c r="C74" s="20" t="s">
        <v>4</v>
      </c>
      <c r="D74" s="20" t="s">
        <v>138</v>
      </c>
      <c r="E74" s="20" t="s">
        <v>7</v>
      </c>
      <c r="F74" s="20" t="s">
        <v>3</v>
      </c>
      <c r="G74" s="20" t="s">
        <v>139</v>
      </c>
      <c r="H74" s="20" t="s">
        <v>140</v>
      </c>
    </row>
    <row r="75" spans="1:8" x14ac:dyDescent="0.3">
      <c r="A75" s="6" t="s">
        <v>141</v>
      </c>
      <c r="B75" s="18">
        <v>5816.54</v>
      </c>
      <c r="C75" s="6">
        <v>557.20000000000005</v>
      </c>
      <c r="D75" s="6">
        <v>838.8</v>
      </c>
      <c r="E75" s="6">
        <v>143.19999999999999</v>
      </c>
      <c r="F75" s="18">
        <v>2367.6</v>
      </c>
      <c r="G75" s="18">
        <v>1806.6</v>
      </c>
      <c r="H75" s="18">
        <f t="shared" ref="H75:H81" si="16">SUM(B75:G75)</f>
        <v>11529.94</v>
      </c>
    </row>
    <row r="76" spans="1:8" x14ac:dyDescent="0.3">
      <c r="A76" s="6" t="s">
        <v>142</v>
      </c>
      <c r="B76" s="6">
        <v>221.51</v>
      </c>
      <c r="C76" s="6">
        <v>94</v>
      </c>
      <c r="D76" s="6">
        <v>506.6</v>
      </c>
      <c r="E76" s="6">
        <v>24</v>
      </c>
      <c r="F76" s="6">
        <v>16.399999999999999</v>
      </c>
      <c r="G76" s="6">
        <v>194.7</v>
      </c>
      <c r="H76" s="18">
        <f t="shared" si="16"/>
        <v>1057.21</v>
      </c>
    </row>
    <row r="77" spans="1:8" x14ac:dyDescent="0.3">
      <c r="A77" s="6" t="s">
        <v>143</v>
      </c>
      <c r="B77" s="6">
        <v>312.68</v>
      </c>
      <c r="C77" s="6">
        <v>0</v>
      </c>
      <c r="D77" s="6">
        <v>254.3</v>
      </c>
      <c r="E77" s="6">
        <v>186.6</v>
      </c>
      <c r="F77" s="6">
        <v>403.6</v>
      </c>
      <c r="G77" s="6">
        <v>270</v>
      </c>
      <c r="H77" s="18">
        <f t="shared" si="16"/>
        <v>1427.18</v>
      </c>
    </row>
    <row r="78" spans="1:8" x14ac:dyDescent="0.3">
      <c r="A78" s="6" t="s">
        <v>145</v>
      </c>
      <c r="B78" s="6">
        <v>273.86</v>
      </c>
      <c r="C78" s="6">
        <v>174.5</v>
      </c>
      <c r="D78" s="6">
        <v>35</v>
      </c>
      <c r="E78" s="6">
        <v>110</v>
      </c>
      <c r="F78" s="6">
        <v>207.7</v>
      </c>
      <c r="G78" s="6"/>
      <c r="H78" s="18">
        <f t="shared" si="16"/>
        <v>801.06</v>
      </c>
    </row>
    <row r="79" spans="1:8" x14ac:dyDescent="0.3">
      <c r="A79" s="6" t="s">
        <v>146</v>
      </c>
      <c r="B79" s="18">
        <v>1695.09</v>
      </c>
      <c r="C79" s="6">
        <v>101</v>
      </c>
      <c r="D79" s="6">
        <v>164.9</v>
      </c>
      <c r="E79" s="6">
        <v>119</v>
      </c>
      <c r="F79" s="6">
        <v>17.5</v>
      </c>
      <c r="G79" s="6">
        <v>0</v>
      </c>
      <c r="H79" s="18">
        <f t="shared" si="16"/>
        <v>2097.4899999999998</v>
      </c>
    </row>
    <row r="80" spans="1:8" x14ac:dyDescent="0.3">
      <c r="A80" s="6" t="s">
        <v>149</v>
      </c>
      <c r="B80" s="18">
        <v>1217.9000000000001</v>
      </c>
      <c r="C80" s="6">
        <v>708.7</v>
      </c>
      <c r="D80" s="18">
        <v>867.8</v>
      </c>
      <c r="E80" s="6">
        <v>767.9</v>
      </c>
      <c r="F80" s="6">
        <v>418.3</v>
      </c>
      <c r="G80" s="18">
        <v>2085.3000000000002</v>
      </c>
      <c r="H80" s="18">
        <f t="shared" si="16"/>
        <v>6065.9000000000005</v>
      </c>
    </row>
    <row r="81" spans="1:8" x14ac:dyDescent="0.3">
      <c r="A81" s="7" t="s">
        <v>150</v>
      </c>
      <c r="B81" s="90">
        <f t="shared" ref="B81:G81" si="17">SUM(B75:B80)</f>
        <v>9537.58</v>
      </c>
      <c r="C81" s="90">
        <f t="shared" si="17"/>
        <v>1635.4</v>
      </c>
      <c r="D81" s="90">
        <f t="shared" si="17"/>
        <v>2667.4</v>
      </c>
      <c r="E81" s="90">
        <f t="shared" si="17"/>
        <v>1350.6999999999998</v>
      </c>
      <c r="F81" s="90">
        <f t="shared" si="17"/>
        <v>3431.1</v>
      </c>
      <c r="G81" s="90">
        <f t="shared" si="17"/>
        <v>4356.6000000000004</v>
      </c>
      <c r="H81" s="90">
        <f t="shared" si="16"/>
        <v>22978.78</v>
      </c>
    </row>
    <row r="82" spans="1:8" x14ac:dyDescent="0.3">
      <c r="A82" s="20" t="s">
        <v>154</v>
      </c>
      <c r="B82" s="91">
        <f t="shared" ref="B82:H82" si="18">SUM(B75:B79)</f>
        <v>8319.68</v>
      </c>
      <c r="C82" s="91">
        <f t="shared" si="18"/>
        <v>926.7</v>
      </c>
      <c r="D82" s="91">
        <f t="shared" si="18"/>
        <v>1799.6000000000001</v>
      </c>
      <c r="E82" s="91">
        <f t="shared" si="18"/>
        <v>582.79999999999995</v>
      </c>
      <c r="F82" s="91">
        <f t="shared" si="18"/>
        <v>3012.7999999999997</v>
      </c>
      <c r="G82" s="91">
        <f t="shared" si="18"/>
        <v>2271.3000000000002</v>
      </c>
      <c r="H82" s="91">
        <f t="shared" si="18"/>
        <v>16912.88</v>
      </c>
    </row>
    <row r="83" spans="1:8" x14ac:dyDescent="0.3">
      <c r="A83" s="7" t="s">
        <v>156</v>
      </c>
      <c r="B83" s="92">
        <f t="shared" ref="B83:H83" si="19">(B82*100)/B81</f>
        <v>87.230513400673971</v>
      </c>
      <c r="C83" s="92">
        <f t="shared" si="19"/>
        <v>56.665036076800781</v>
      </c>
      <c r="D83" s="92">
        <f t="shared" si="19"/>
        <v>67.466446727150029</v>
      </c>
      <c r="E83" s="92">
        <f t="shared" si="19"/>
        <v>43.147997334715335</v>
      </c>
      <c r="F83" s="92">
        <f t="shared" si="19"/>
        <v>87.808574509632479</v>
      </c>
      <c r="G83" s="92">
        <f t="shared" si="19"/>
        <v>52.134692191158244</v>
      </c>
      <c r="H83" s="92">
        <f t="shared" si="19"/>
        <v>73.602166868737157</v>
      </c>
    </row>
  </sheetData>
  <mergeCells count="5">
    <mergeCell ref="A3:H3"/>
    <mergeCell ref="A21:H21"/>
    <mergeCell ref="A39:H39"/>
    <mergeCell ref="A57:H57"/>
    <mergeCell ref="A73:H7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0"/>
  <sheetViews>
    <sheetView topLeftCell="A4" zoomScaleNormal="100" workbookViewId="0">
      <selection activeCell="C27" sqref="C27"/>
    </sheetView>
  </sheetViews>
  <sheetFormatPr baseColWidth="10" defaultColWidth="10.6640625" defaultRowHeight="14.4" x14ac:dyDescent="0.3"/>
  <sheetData>
    <row r="1" spans="1:4" x14ac:dyDescent="0.3">
      <c r="A1" t="s">
        <v>159</v>
      </c>
      <c r="B1" t="s">
        <v>160</v>
      </c>
      <c r="C1" t="s">
        <v>99</v>
      </c>
      <c r="D1">
        <v>62.160002470016501</v>
      </c>
    </row>
    <row r="2" spans="1:4" x14ac:dyDescent="0.3">
      <c r="A2" t="s">
        <v>159</v>
      </c>
      <c r="B2" t="s">
        <v>160</v>
      </c>
      <c r="C2" t="s">
        <v>108</v>
      </c>
      <c r="D2">
        <v>4465.1598419189504</v>
      </c>
    </row>
    <row r="3" spans="1:4" x14ac:dyDescent="0.3">
      <c r="A3" t="s">
        <v>159</v>
      </c>
      <c r="B3" t="s">
        <v>160</v>
      </c>
      <c r="C3" t="s">
        <v>100</v>
      </c>
      <c r="D3">
        <v>155.4</v>
      </c>
    </row>
    <row r="4" spans="1:4" x14ac:dyDescent="0.3">
      <c r="A4" t="s">
        <v>159</v>
      </c>
      <c r="B4" t="s">
        <v>160</v>
      </c>
      <c r="C4" t="s">
        <v>101</v>
      </c>
      <c r="D4">
        <v>238.27999505996701</v>
      </c>
    </row>
    <row r="5" spans="1:4" x14ac:dyDescent="0.3">
      <c r="A5" t="s">
        <v>159</v>
      </c>
      <c r="B5" t="s">
        <v>160</v>
      </c>
      <c r="C5" t="s">
        <v>102</v>
      </c>
      <c r="D5">
        <v>362.6</v>
      </c>
    </row>
    <row r="6" spans="1:4" x14ac:dyDescent="0.3">
      <c r="A6" t="s">
        <v>159</v>
      </c>
      <c r="B6" t="s">
        <v>160</v>
      </c>
      <c r="C6" t="s">
        <v>103</v>
      </c>
      <c r="D6">
        <v>476.55999011993401</v>
      </c>
    </row>
    <row r="7" spans="1:4" x14ac:dyDescent="0.3">
      <c r="A7" t="s">
        <v>159</v>
      </c>
      <c r="B7" t="s">
        <v>160</v>
      </c>
      <c r="C7" t="s">
        <v>104</v>
      </c>
      <c r="D7">
        <v>642.31998023986796</v>
      </c>
    </row>
    <row r="8" spans="1:4" x14ac:dyDescent="0.3">
      <c r="A8" t="s">
        <v>159</v>
      </c>
      <c r="B8" t="s">
        <v>160</v>
      </c>
      <c r="C8" t="s">
        <v>105</v>
      </c>
      <c r="D8">
        <v>911.68001976013204</v>
      </c>
    </row>
    <row r="9" spans="1:4" x14ac:dyDescent="0.3">
      <c r="A9" t="s">
        <v>159</v>
      </c>
      <c r="B9" t="s">
        <v>160</v>
      </c>
      <c r="C9" t="s">
        <v>106</v>
      </c>
      <c r="D9">
        <v>1232.8399604797401</v>
      </c>
    </row>
    <row r="10" spans="1:4" x14ac:dyDescent="0.3">
      <c r="A10" t="s">
        <v>159</v>
      </c>
      <c r="B10" t="s">
        <v>160</v>
      </c>
      <c r="C10" t="s">
        <v>107</v>
      </c>
      <c r="D10">
        <v>1813</v>
      </c>
    </row>
    <row r="11" spans="1:4" x14ac:dyDescent="0.3">
      <c r="A11" t="s">
        <v>161</v>
      </c>
      <c r="B11" t="s">
        <v>160</v>
      </c>
      <c r="C11" t="s">
        <v>99</v>
      </c>
      <c r="D11">
        <v>62.160002470016501</v>
      </c>
    </row>
    <row r="12" spans="1:4" x14ac:dyDescent="0.3">
      <c r="A12" t="s">
        <v>161</v>
      </c>
      <c r="B12" t="s">
        <v>160</v>
      </c>
      <c r="C12" t="s">
        <v>108</v>
      </c>
      <c r="D12">
        <v>4175.0799209594697</v>
      </c>
    </row>
    <row r="13" spans="1:4" x14ac:dyDescent="0.3">
      <c r="A13" t="s">
        <v>161</v>
      </c>
      <c r="B13" t="s">
        <v>160</v>
      </c>
      <c r="C13" t="s">
        <v>100</v>
      </c>
      <c r="D13">
        <v>165.76000247001701</v>
      </c>
    </row>
    <row r="14" spans="1:4" x14ac:dyDescent="0.3">
      <c r="A14" t="s">
        <v>161</v>
      </c>
      <c r="B14" t="s">
        <v>160</v>
      </c>
      <c r="C14" t="s">
        <v>101</v>
      </c>
      <c r="D14">
        <v>279.72000494003299</v>
      </c>
    </row>
    <row r="15" spans="1:4" x14ac:dyDescent="0.3">
      <c r="A15" t="s">
        <v>161</v>
      </c>
      <c r="B15" t="s">
        <v>160</v>
      </c>
      <c r="C15" t="s">
        <v>102</v>
      </c>
      <c r="D15">
        <v>404.04000988006601</v>
      </c>
    </row>
    <row r="16" spans="1:4" x14ac:dyDescent="0.3">
      <c r="A16" t="s">
        <v>161</v>
      </c>
      <c r="B16" t="s">
        <v>160</v>
      </c>
      <c r="C16" t="s">
        <v>103</v>
      </c>
      <c r="D16">
        <v>528.35999011993397</v>
      </c>
    </row>
    <row r="17" spans="1:4" x14ac:dyDescent="0.3">
      <c r="A17" t="s">
        <v>161</v>
      </c>
      <c r="B17" t="s">
        <v>160</v>
      </c>
      <c r="C17" t="s">
        <v>104</v>
      </c>
      <c r="D17">
        <v>704.480019760132</v>
      </c>
    </row>
    <row r="18" spans="1:4" x14ac:dyDescent="0.3">
      <c r="A18" t="s">
        <v>161</v>
      </c>
      <c r="B18" t="s">
        <v>160</v>
      </c>
      <c r="C18" t="s">
        <v>105</v>
      </c>
      <c r="D18">
        <v>953.11998023986803</v>
      </c>
    </row>
    <row r="19" spans="1:4" x14ac:dyDescent="0.3">
      <c r="A19" t="s">
        <v>161</v>
      </c>
      <c r="B19" t="s">
        <v>160</v>
      </c>
      <c r="C19" t="s">
        <v>106</v>
      </c>
      <c r="D19">
        <v>1274.28001976013</v>
      </c>
    </row>
    <row r="20" spans="1:4" x14ac:dyDescent="0.3">
      <c r="A20" t="s">
        <v>161</v>
      </c>
      <c r="B20" t="s">
        <v>160</v>
      </c>
      <c r="C20" t="s">
        <v>107</v>
      </c>
      <c r="D20">
        <v>1813</v>
      </c>
    </row>
    <row r="21" spans="1:4" x14ac:dyDescent="0.3">
      <c r="A21" t="s">
        <v>162</v>
      </c>
      <c r="B21" t="s">
        <v>160</v>
      </c>
      <c r="C21" t="s">
        <v>99</v>
      </c>
      <c r="D21">
        <v>72.519998764991797</v>
      </c>
    </row>
    <row r="22" spans="1:4" x14ac:dyDescent="0.3">
      <c r="A22" t="s">
        <v>162</v>
      </c>
      <c r="B22" t="s">
        <v>160</v>
      </c>
      <c r="C22" t="s">
        <v>108</v>
      </c>
      <c r="D22">
        <v>4081.8401580810601</v>
      </c>
    </row>
    <row r="23" spans="1:4" x14ac:dyDescent="0.3">
      <c r="A23" t="s">
        <v>162</v>
      </c>
      <c r="B23" t="s">
        <v>160</v>
      </c>
      <c r="C23" t="s">
        <v>100</v>
      </c>
      <c r="D23">
        <v>176.120004940033</v>
      </c>
    </row>
    <row r="24" spans="1:4" x14ac:dyDescent="0.3">
      <c r="A24" t="s">
        <v>162</v>
      </c>
      <c r="B24" t="s">
        <v>160</v>
      </c>
      <c r="C24" t="s">
        <v>101</v>
      </c>
      <c r="D24">
        <v>300.44000988006599</v>
      </c>
    </row>
    <row r="25" spans="1:4" x14ac:dyDescent="0.3">
      <c r="A25" t="s">
        <v>162</v>
      </c>
      <c r="B25" t="s">
        <v>160</v>
      </c>
      <c r="C25" t="s">
        <v>102</v>
      </c>
      <c r="D25">
        <v>414.4</v>
      </c>
    </row>
    <row r="26" spans="1:4" x14ac:dyDescent="0.3">
      <c r="A26" t="s">
        <v>162</v>
      </c>
      <c r="B26" t="s">
        <v>160</v>
      </c>
      <c r="C26" t="s">
        <v>103</v>
      </c>
      <c r="D26">
        <v>549.08001976013202</v>
      </c>
    </row>
    <row r="27" spans="1:4" x14ac:dyDescent="0.3">
      <c r="A27" t="s">
        <v>162</v>
      </c>
      <c r="B27" t="s">
        <v>160</v>
      </c>
      <c r="C27" t="s">
        <v>104</v>
      </c>
      <c r="D27">
        <v>714.84000988006596</v>
      </c>
    </row>
    <row r="28" spans="1:4" x14ac:dyDescent="0.3">
      <c r="A28" t="s">
        <v>162</v>
      </c>
      <c r="B28" t="s">
        <v>160</v>
      </c>
      <c r="C28" t="s">
        <v>105</v>
      </c>
      <c r="D28">
        <v>973.83996047973596</v>
      </c>
    </row>
    <row r="29" spans="1:4" x14ac:dyDescent="0.3">
      <c r="A29" t="s">
        <v>162</v>
      </c>
      <c r="B29" t="s">
        <v>160</v>
      </c>
      <c r="C29" t="s">
        <v>106</v>
      </c>
      <c r="D29">
        <v>1253.56003952026</v>
      </c>
    </row>
    <row r="30" spans="1:4" x14ac:dyDescent="0.3">
      <c r="A30" t="s">
        <v>162</v>
      </c>
      <c r="B30" t="s">
        <v>160</v>
      </c>
      <c r="C30" t="s">
        <v>107</v>
      </c>
      <c r="D30">
        <v>1823.36003952026</v>
      </c>
    </row>
    <row r="31" spans="1:4" x14ac:dyDescent="0.3">
      <c r="A31" t="s">
        <v>163</v>
      </c>
      <c r="B31" t="s">
        <v>160</v>
      </c>
      <c r="C31" t="s">
        <v>99</v>
      </c>
      <c r="D31">
        <v>62.160002470016501</v>
      </c>
    </row>
    <row r="32" spans="1:4" x14ac:dyDescent="0.3">
      <c r="A32" t="s">
        <v>163</v>
      </c>
      <c r="B32" t="s">
        <v>160</v>
      </c>
      <c r="C32" t="s">
        <v>108</v>
      </c>
      <c r="D32">
        <v>4216.5200790405297</v>
      </c>
    </row>
    <row r="33" spans="1:4" x14ac:dyDescent="0.3">
      <c r="A33" t="s">
        <v>163</v>
      </c>
      <c r="B33" t="s">
        <v>160</v>
      </c>
      <c r="C33" t="s">
        <v>100</v>
      </c>
      <c r="D33">
        <v>165.76000247001701</v>
      </c>
    </row>
    <row r="34" spans="1:4" x14ac:dyDescent="0.3">
      <c r="A34" t="s">
        <v>163</v>
      </c>
      <c r="B34" t="s">
        <v>160</v>
      </c>
      <c r="C34" t="s">
        <v>101</v>
      </c>
      <c r="D34">
        <v>269.35999011993403</v>
      </c>
    </row>
    <row r="35" spans="1:4" x14ac:dyDescent="0.3">
      <c r="A35" t="s">
        <v>163</v>
      </c>
      <c r="B35" t="s">
        <v>160</v>
      </c>
      <c r="C35" t="s">
        <v>102</v>
      </c>
      <c r="D35">
        <v>393.67999505996698</v>
      </c>
    </row>
    <row r="36" spans="1:4" x14ac:dyDescent="0.3">
      <c r="A36" t="s">
        <v>163</v>
      </c>
      <c r="B36" t="s">
        <v>160</v>
      </c>
      <c r="C36" t="s">
        <v>103</v>
      </c>
      <c r="D36">
        <v>518</v>
      </c>
    </row>
    <row r="37" spans="1:4" x14ac:dyDescent="0.3">
      <c r="A37" t="s">
        <v>163</v>
      </c>
      <c r="B37" t="s">
        <v>160</v>
      </c>
      <c r="C37" t="s">
        <v>104</v>
      </c>
      <c r="D37">
        <v>714.84000988006596</v>
      </c>
    </row>
    <row r="38" spans="1:4" x14ac:dyDescent="0.3">
      <c r="A38" t="s">
        <v>163</v>
      </c>
      <c r="B38" t="s">
        <v>160</v>
      </c>
      <c r="C38" t="s">
        <v>105</v>
      </c>
      <c r="D38">
        <v>963.480019760132</v>
      </c>
    </row>
    <row r="39" spans="1:4" x14ac:dyDescent="0.3">
      <c r="A39" t="s">
        <v>163</v>
      </c>
      <c r="B39" t="s">
        <v>160</v>
      </c>
      <c r="C39" t="s">
        <v>106</v>
      </c>
      <c r="D39">
        <v>1263.91998023987</v>
      </c>
    </row>
    <row r="40" spans="1:4" x14ac:dyDescent="0.3">
      <c r="A40" t="s">
        <v>163</v>
      </c>
      <c r="B40" t="s">
        <v>160</v>
      </c>
      <c r="C40" t="s">
        <v>107</v>
      </c>
      <c r="D40">
        <v>1792.27992095947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SOC 1</vt:lpstr>
      <vt:lpstr>SOC 2 NIC  (2)</vt:lpstr>
      <vt:lpstr>SOC 2 TOTAL</vt:lpstr>
      <vt:lpstr>SOC 2 CR</vt:lpstr>
      <vt:lpstr>SOC 2 HD</vt:lpstr>
      <vt:lpstr>SOC 2 ES</vt:lpstr>
      <vt:lpstr>SOC 2 GUA</vt:lpstr>
      <vt:lpstr>SOC 2 PAN</vt:lpstr>
      <vt:lpstr>SOC 3</vt:lpstr>
      <vt:lpstr>Capacidad instalada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Luis Giovanni Serrano Bello</cp:lastModifiedBy>
  <cp:revision>0</cp:revision>
  <dcterms:created xsi:type="dcterms:W3CDTF">2026-05-25T04:40:02Z</dcterms:created>
  <dcterms:modified xsi:type="dcterms:W3CDTF">2026-07-21T18:43:06Z</dcterms:modified>
  <dc:language>en-US</dc:language>
</cp:coreProperties>
</file>